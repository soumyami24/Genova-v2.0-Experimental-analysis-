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my\Downloads\Gneova_Stroke\Experiment\"/>
    </mc:Choice>
  </mc:AlternateContent>
  <xr:revisionPtr revIDLastSave="0" documentId="13_ncr:1_{59F5AF15-7354-4E55-AFEF-42D08FFB02A3}" xr6:coauthVersionLast="47" xr6:coauthVersionMax="47" xr10:uidLastSave="{00000000-0000-0000-0000-000000000000}"/>
  <bookViews>
    <workbookView xWindow="-90" yWindow="0" windowWidth="9780" windowHeight="10170" xr2:uid="{9998F93D-DA22-46DD-80FE-BCE587171E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1" i="1"/>
  <c r="S41" i="1" s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 s="1"/>
  <c r="R52" i="1"/>
  <c r="S52" i="1" s="1"/>
  <c r="R53" i="1"/>
  <c r="S53" i="1" s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S65" i="1" s="1"/>
  <c r="R66" i="1"/>
  <c r="S66" i="1" s="1"/>
  <c r="R67" i="1"/>
  <c r="S67" i="1" s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5" i="1"/>
  <c r="S75" i="1" s="1"/>
  <c r="R76" i="1"/>
  <c r="S76" i="1" s="1"/>
  <c r="R77" i="1"/>
  <c r="S77" i="1" s="1"/>
  <c r="R78" i="1"/>
  <c r="S78" i="1" s="1"/>
  <c r="R80" i="1"/>
  <c r="S80" i="1" s="1"/>
  <c r="R81" i="1"/>
  <c r="S81" i="1" s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S88" i="1" s="1"/>
  <c r="R89" i="1"/>
  <c r="S89" i="1" s="1"/>
  <c r="R90" i="1"/>
  <c r="S90" i="1" s="1"/>
  <c r="R91" i="1"/>
  <c r="S91" i="1" s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S100" i="1" s="1"/>
  <c r="R101" i="1"/>
  <c r="S101" i="1" s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09" i="1"/>
  <c r="S109" i="1" s="1"/>
  <c r="R110" i="1"/>
  <c r="S110" i="1" s="1"/>
  <c r="R111" i="1"/>
  <c r="S111" i="1" s="1"/>
  <c r="R112" i="1"/>
  <c r="S112" i="1" s="1"/>
  <c r="R113" i="1"/>
  <c r="S113" i="1" s="1"/>
  <c r="R114" i="1"/>
  <c r="S114" i="1" s="1"/>
  <c r="R115" i="1"/>
  <c r="S115" i="1" s="1"/>
  <c r="R116" i="1"/>
  <c r="S116" i="1" s="1"/>
  <c r="R117" i="1"/>
  <c r="S117" i="1" s="1"/>
  <c r="R118" i="1"/>
  <c r="S118" i="1" s="1"/>
  <c r="R119" i="1"/>
  <c r="S119" i="1" s="1"/>
  <c r="R120" i="1"/>
  <c r="S120" i="1" s="1"/>
  <c r="R121" i="1"/>
  <c r="S121" i="1" s="1"/>
  <c r="R122" i="1"/>
  <c r="S122" i="1" s="1"/>
  <c r="R123" i="1"/>
  <c r="S123" i="1" s="1"/>
  <c r="R124" i="1"/>
  <c r="S124" i="1" s="1"/>
  <c r="R125" i="1"/>
  <c r="S125" i="1" s="1"/>
  <c r="R126" i="1"/>
  <c r="S126" i="1" s="1"/>
  <c r="R128" i="1"/>
  <c r="S128" i="1" s="1"/>
  <c r="R129" i="1"/>
  <c r="S129" i="1" s="1"/>
  <c r="R130" i="1"/>
  <c r="S130" i="1" s="1"/>
  <c r="R131" i="1"/>
  <c r="S131" i="1" s="1"/>
  <c r="R132" i="1"/>
  <c r="S132" i="1" s="1"/>
  <c r="R133" i="1"/>
  <c r="S133" i="1" s="1"/>
  <c r="R134" i="1"/>
  <c r="S134" i="1" s="1"/>
  <c r="R135" i="1"/>
  <c r="S135" i="1" s="1"/>
  <c r="R136" i="1"/>
  <c r="S136" i="1" s="1"/>
  <c r="R137" i="1"/>
  <c r="S137" i="1" s="1"/>
  <c r="R138" i="1"/>
  <c r="S138" i="1" s="1"/>
  <c r="R139" i="1"/>
  <c r="S139" i="1" s="1"/>
  <c r="R140" i="1"/>
  <c r="S140" i="1" s="1"/>
  <c r="R141" i="1"/>
  <c r="S141" i="1" s="1"/>
  <c r="R142" i="1"/>
  <c r="S142" i="1" s="1"/>
  <c r="R143" i="1"/>
  <c r="S143" i="1" s="1"/>
  <c r="R144" i="1"/>
  <c r="S144" i="1" s="1"/>
  <c r="R145" i="1"/>
  <c r="S145" i="1" s="1"/>
  <c r="R146" i="1"/>
  <c r="S146" i="1" s="1"/>
  <c r="R147" i="1"/>
  <c r="S147" i="1" s="1"/>
  <c r="R148" i="1"/>
  <c r="S148" i="1" s="1"/>
  <c r="R149" i="1"/>
  <c r="S149" i="1" s="1"/>
  <c r="R150" i="1"/>
  <c r="S150" i="1" s="1"/>
  <c r="R151" i="1"/>
  <c r="S151" i="1" s="1"/>
  <c r="R152" i="1"/>
  <c r="S152" i="1" s="1"/>
  <c r="R153" i="1"/>
  <c r="S153" i="1" s="1"/>
  <c r="R154" i="1"/>
  <c r="S154" i="1" s="1"/>
  <c r="R155" i="1"/>
  <c r="S155" i="1" s="1"/>
  <c r="R156" i="1"/>
  <c r="S156" i="1" s="1"/>
  <c r="R157" i="1"/>
  <c r="S157" i="1" s="1"/>
  <c r="R158" i="1"/>
  <c r="S158" i="1" s="1"/>
  <c r="R159" i="1"/>
  <c r="S159" i="1" s="1"/>
  <c r="R160" i="1"/>
  <c r="S160" i="1" s="1"/>
  <c r="R161" i="1"/>
  <c r="S161" i="1" s="1"/>
  <c r="R162" i="1"/>
  <c r="S162" i="1" s="1"/>
  <c r="R163" i="1"/>
  <c r="S163" i="1" s="1"/>
  <c r="R164" i="1"/>
  <c r="S164" i="1" s="1"/>
  <c r="R165" i="1"/>
  <c r="S165" i="1" s="1"/>
  <c r="R166" i="1"/>
  <c r="S166" i="1" s="1"/>
  <c r="R167" i="1"/>
  <c r="S167" i="1" s="1"/>
  <c r="R168" i="1"/>
  <c r="S168" i="1" s="1"/>
  <c r="R169" i="1"/>
  <c r="S169" i="1" s="1"/>
  <c r="R170" i="1"/>
  <c r="S170" i="1" s="1"/>
  <c r="R171" i="1"/>
  <c r="S171" i="1" s="1"/>
  <c r="R172" i="1"/>
  <c r="S172" i="1" s="1"/>
  <c r="R173" i="1"/>
  <c r="S173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1" i="1"/>
  <c r="S181" i="1" s="1"/>
  <c r="R182" i="1"/>
  <c r="S182" i="1" s="1"/>
  <c r="R2" i="1"/>
  <c r="S2" i="1" s="1"/>
  <c r="N183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9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2" i="1"/>
  <c r="V183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2" i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I57" i="1" s="1"/>
  <c r="G58" i="1"/>
  <c r="H58" i="1" s="1"/>
  <c r="I58" i="1" s="1"/>
  <c r="G59" i="1"/>
  <c r="H59" i="1" s="1"/>
  <c r="I59" i="1" s="1"/>
  <c r="G60" i="1"/>
  <c r="H60" i="1" s="1"/>
  <c r="I60" i="1" s="1"/>
  <c r="G61" i="1"/>
  <c r="H61" i="1" s="1"/>
  <c r="I61" i="1" s="1"/>
  <c r="G62" i="1"/>
  <c r="H62" i="1" s="1"/>
  <c r="I62" i="1" s="1"/>
  <c r="G63" i="1"/>
  <c r="H63" i="1" s="1"/>
  <c r="I63" i="1" s="1"/>
  <c r="G64" i="1"/>
  <c r="H64" i="1" s="1"/>
  <c r="I64" i="1" s="1"/>
  <c r="G65" i="1"/>
  <c r="H65" i="1" s="1"/>
  <c r="I65" i="1" s="1"/>
  <c r="G66" i="1"/>
  <c r="H66" i="1" s="1"/>
  <c r="I66" i="1" s="1"/>
  <c r="G67" i="1"/>
  <c r="H67" i="1" s="1"/>
  <c r="I67" i="1" s="1"/>
  <c r="G68" i="1"/>
  <c r="H68" i="1" s="1"/>
  <c r="I68" i="1" s="1"/>
  <c r="G69" i="1"/>
  <c r="H69" i="1" s="1"/>
  <c r="I69" i="1" s="1"/>
  <c r="G70" i="1"/>
  <c r="H70" i="1" s="1"/>
  <c r="I70" i="1" s="1"/>
  <c r="G71" i="1"/>
  <c r="H71" i="1" s="1"/>
  <c r="I71" i="1" s="1"/>
  <c r="G72" i="1"/>
  <c r="H72" i="1" s="1"/>
  <c r="I72" i="1" s="1"/>
  <c r="G73" i="1"/>
  <c r="H73" i="1" s="1"/>
  <c r="I73" i="1" s="1"/>
  <c r="G74" i="1"/>
  <c r="H74" i="1" s="1"/>
  <c r="I74" i="1" s="1"/>
  <c r="G75" i="1"/>
  <c r="H75" i="1" s="1"/>
  <c r="I75" i="1" s="1"/>
  <c r="G76" i="1"/>
  <c r="H76" i="1" s="1"/>
  <c r="G77" i="1"/>
  <c r="H77" i="1" s="1"/>
  <c r="I77" i="1" s="1"/>
  <c r="G78" i="1"/>
  <c r="H78" i="1" s="1"/>
  <c r="I78" i="1" s="1"/>
  <c r="G79" i="1"/>
  <c r="H79" i="1" s="1"/>
  <c r="I79" i="1" s="1"/>
  <c r="G80" i="1"/>
  <c r="H80" i="1" s="1"/>
  <c r="I80" i="1" s="1"/>
  <c r="G81" i="1"/>
  <c r="H81" i="1" s="1"/>
  <c r="I81" i="1" s="1"/>
  <c r="G82" i="1"/>
  <c r="H82" i="1" s="1"/>
  <c r="I82" i="1" s="1"/>
  <c r="G83" i="1"/>
  <c r="H83" i="1" s="1"/>
  <c r="I83" i="1" s="1"/>
  <c r="G84" i="1"/>
  <c r="H84" i="1" s="1"/>
  <c r="I84" i="1" s="1"/>
  <c r="G85" i="1"/>
  <c r="H85" i="1" s="1"/>
  <c r="I85" i="1" s="1"/>
  <c r="G86" i="1"/>
  <c r="H86" i="1" s="1"/>
  <c r="I86" i="1" s="1"/>
  <c r="G87" i="1"/>
  <c r="H87" i="1" s="1"/>
  <c r="I87" i="1" s="1"/>
  <c r="G88" i="1"/>
  <c r="H88" i="1" s="1"/>
  <c r="I88" i="1" s="1"/>
  <c r="G89" i="1"/>
  <c r="H89" i="1" s="1"/>
  <c r="I89" i="1" s="1"/>
  <c r="G90" i="1"/>
  <c r="H90" i="1" s="1"/>
  <c r="I90" i="1" s="1"/>
  <c r="G91" i="1"/>
  <c r="H91" i="1" s="1"/>
  <c r="I91" i="1" s="1"/>
  <c r="G92" i="1"/>
  <c r="H92" i="1" s="1"/>
  <c r="I92" i="1" s="1"/>
  <c r="G93" i="1"/>
  <c r="H93" i="1" s="1"/>
  <c r="I93" i="1" s="1"/>
  <c r="G94" i="1"/>
  <c r="H94" i="1" s="1"/>
  <c r="I94" i="1" s="1"/>
  <c r="G95" i="1"/>
  <c r="H95" i="1" s="1"/>
  <c r="I95" i="1" s="1"/>
  <c r="G96" i="1"/>
  <c r="H96" i="1" s="1"/>
  <c r="I96" i="1" s="1"/>
  <c r="G97" i="1"/>
  <c r="H97" i="1" s="1"/>
  <c r="I97" i="1" s="1"/>
  <c r="G98" i="1"/>
  <c r="H98" i="1" s="1"/>
  <c r="G99" i="1"/>
  <c r="H99" i="1" s="1"/>
  <c r="I99" i="1" s="1"/>
  <c r="G100" i="1"/>
  <c r="H100" i="1" s="1"/>
  <c r="I100" i="1" s="1"/>
  <c r="G101" i="1"/>
  <c r="H101" i="1" s="1"/>
  <c r="I101" i="1" s="1"/>
  <c r="G102" i="1"/>
  <c r="H102" i="1" s="1"/>
  <c r="I102" i="1" s="1"/>
  <c r="G103" i="1"/>
  <c r="H103" i="1" s="1"/>
  <c r="I103" i="1" s="1"/>
  <c r="G104" i="1"/>
  <c r="H104" i="1" s="1"/>
  <c r="I104" i="1" s="1"/>
  <c r="G105" i="1"/>
  <c r="H105" i="1" s="1"/>
  <c r="I105" i="1" s="1"/>
  <c r="G106" i="1"/>
  <c r="H106" i="1" s="1"/>
  <c r="I106" i="1" s="1"/>
  <c r="G107" i="1"/>
  <c r="H107" i="1" s="1"/>
  <c r="I107" i="1" s="1"/>
  <c r="G108" i="1"/>
  <c r="H108" i="1" s="1"/>
  <c r="I108" i="1" s="1"/>
  <c r="G109" i="1"/>
  <c r="H109" i="1" s="1"/>
  <c r="I109" i="1" s="1"/>
  <c r="G110" i="1"/>
  <c r="H110" i="1" s="1"/>
  <c r="I110" i="1" s="1"/>
  <c r="G111" i="1"/>
  <c r="H111" i="1" s="1"/>
  <c r="I111" i="1" s="1"/>
  <c r="G112" i="1"/>
  <c r="H112" i="1" s="1"/>
  <c r="I112" i="1" s="1"/>
  <c r="G113" i="1"/>
  <c r="H113" i="1" s="1"/>
  <c r="I113" i="1" s="1"/>
  <c r="G114" i="1"/>
  <c r="H114" i="1" s="1"/>
  <c r="I114" i="1" s="1"/>
  <c r="G115" i="1"/>
  <c r="H115" i="1" s="1"/>
  <c r="I115" i="1" s="1"/>
  <c r="G116" i="1"/>
  <c r="H116" i="1" s="1"/>
  <c r="I116" i="1" s="1"/>
  <c r="G117" i="1"/>
  <c r="H117" i="1" s="1"/>
  <c r="I117" i="1" s="1"/>
  <c r="G118" i="1"/>
  <c r="H118" i="1" s="1"/>
  <c r="I118" i="1" s="1"/>
  <c r="G119" i="1"/>
  <c r="H119" i="1" s="1"/>
  <c r="I119" i="1" s="1"/>
  <c r="G120" i="1"/>
  <c r="H120" i="1" s="1"/>
  <c r="I120" i="1" s="1"/>
  <c r="G121" i="1"/>
  <c r="H121" i="1" s="1"/>
  <c r="I121" i="1" s="1"/>
  <c r="G122" i="1"/>
  <c r="H122" i="1" s="1"/>
  <c r="I122" i="1" s="1"/>
  <c r="G123" i="1"/>
  <c r="H123" i="1" s="1"/>
  <c r="I123" i="1" s="1"/>
  <c r="G124" i="1"/>
  <c r="H124" i="1" s="1"/>
  <c r="I124" i="1" s="1"/>
  <c r="G125" i="1"/>
  <c r="H125" i="1" s="1"/>
  <c r="I125" i="1" s="1"/>
  <c r="G126" i="1"/>
  <c r="H126" i="1" s="1"/>
  <c r="I126" i="1" s="1"/>
  <c r="G127" i="1"/>
  <c r="H127" i="1" s="1"/>
  <c r="I127" i="1" s="1"/>
  <c r="G128" i="1"/>
  <c r="H128" i="1" s="1"/>
  <c r="I128" i="1" s="1"/>
  <c r="G129" i="1"/>
  <c r="H129" i="1" s="1"/>
  <c r="I129" i="1" s="1"/>
  <c r="G130" i="1"/>
  <c r="H130" i="1" s="1"/>
  <c r="I130" i="1" s="1"/>
  <c r="G131" i="1"/>
  <c r="H131" i="1" s="1"/>
  <c r="I131" i="1" s="1"/>
  <c r="G132" i="1"/>
  <c r="H132" i="1" s="1"/>
  <c r="I132" i="1" s="1"/>
  <c r="G133" i="1"/>
  <c r="H133" i="1" s="1"/>
  <c r="I133" i="1" s="1"/>
  <c r="G134" i="1"/>
  <c r="H134" i="1" s="1"/>
  <c r="I134" i="1" s="1"/>
  <c r="G135" i="1"/>
  <c r="H135" i="1" s="1"/>
  <c r="I135" i="1" s="1"/>
  <c r="G136" i="1"/>
  <c r="H136" i="1" s="1"/>
  <c r="I136" i="1" s="1"/>
  <c r="G137" i="1"/>
  <c r="H137" i="1" s="1"/>
  <c r="I137" i="1" s="1"/>
  <c r="G138" i="1"/>
  <c r="H138" i="1" s="1"/>
  <c r="I138" i="1" s="1"/>
  <c r="G139" i="1"/>
  <c r="H139" i="1" s="1"/>
  <c r="I139" i="1" s="1"/>
  <c r="G140" i="1"/>
  <c r="H140" i="1" s="1"/>
  <c r="I140" i="1" s="1"/>
  <c r="G141" i="1"/>
  <c r="H141" i="1" s="1"/>
  <c r="I141" i="1" s="1"/>
  <c r="G142" i="1"/>
  <c r="H142" i="1" s="1"/>
  <c r="I142" i="1" s="1"/>
  <c r="G143" i="1"/>
  <c r="H143" i="1" s="1"/>
  <c r="I143" i="1" s="1"/>
  <c r="G144" i="1"/>
  <c r="H144" i="1" s="1"/>
  <c r="I144" i="1" s="1"/>
  <c r="G145" i="1"/>
  <c r="H145" i="1" s="1"/>
  <c r="I145" i="1" s="1"/>
  <c r="G146" i="1"/>
  <c r="H146" i="1" s="1"/>
  <c r="I146" i="1" s="1"/>
  <c r="G147" i="1"/>
  <c r="H147" i="1" s="1"/>
  <c r="I147" i="1" s="1"/>
  <c r="G148" i="1"/>
  <c r="H148" i="1" s="1"/>
  <c r="I148" i="1" s="1"/>
  <c r="G149" i="1"/>
  <c r="H149" i="1" s="1"/>
  <c r="I149" i="1" s="1"/>
  <c r="G150" i="1"/>
  <c r="H150" i="1" s="1"/>
  <c r="I150" i="1" s="1"/>
  <c r="G151" i="1"/>
  <c r="H151" i="1" s="1"/>
  <c r="I151" i="1" s="1"/>
  <c r="G152" i="1"/>
  <c r="H152" i="1" s="1"/>
  <c r="I152" i="1" s="1"/>
  <c r="G153" i="1"/>
  <c r="H153" i="1" s="1"/>
  <c r="I153" i="1" s="1"/>
  <c r="G154" i="1"/>
  <c r="H154" i="1" s="1"/>
  <c r="I154" i="1" s="1"/>
  <c r="G155" i="1"/>
  <c r="H155" i="1" s="1"/>
  <c r="I155" i="1" s="1"/>
  <c r="G156" i="1"/>
  <c r="H156" i="1" s="1"/>
  <c r="I156" i="1" s="1"/>
  <c r="G157" i="1"/>
  <c r="H157" i="1" s="1"/>
  <c r="I157" i="1" s="1"/>
  <c r="G158" i="1"/>
  <c r="H158" i="1" s="1"/>
  <c r="I158" i="1" s="1"/>
  <c r="G159" i="1"/>
  <c r="H159" i="1" s="1"/>
  <c r="I159" i="1" s="1"/>
  <c r="G160" i="1"/>
  <c r="H160" i="1" s="1"/>
  <c r="I160" i="1" s="1"/>
  <c r="G161" i="1"/>
  <c r="H161" i="1" s="1"/>
  <c r="I161" i="1" s="1"/>
  <c r="G162" i="1"/>
  <c r="H162" i="1" s="1"/>
  <c r="I162" i="1" s="1"/>
  <c r="G163" i="1"/>
  <c r="H163" i="1" s="1"/>
  <c r="I163" i="1" s="1"/>
  <c r="G164" i="1"/>
  <c r="H164" i="1" s="1"/>
  <c r="I164" i="1" s="1"/>
  <c r="G165" i="1"/>
  <c r="H165" i="1" s="1"/>
  <c r="I165" i="1" s="1"/>
  <c r="G166" i="1"/>
  <c r="H166" i="1" s="1"/>
  <c r="I166" i="1" s="1"/>
  <c r="G167" i="1"/>
  <c r="H167" i="1" s="1"/>
  <c r="I167" i="1" s="1"/>
  <c r="G168" i="1"/>
  <c r="H168" i="1" s="1"/>
  <c r="I168" i="1" s="1"/>
  <c r="G169" i="1"/>
  <c r="H169" i="1" s="1"/>
  <c r="I169" i="1" s="1"/>
  <c r="G170" i="1"/>
  <c r="H170" i="1" s="1"/>
  <c r="I170" i="1" s="1"/>
  <c r="G171" i="1"/>
  <c r="H171" i="1" s="1"/>
  <c r="I171" i="1" s="1"/>
  <c r="G172" i="1"/>
  <c r="H172" i="1" s="1"/>
  <c r="I172" i="1" s="1"/>
  <c r="G173" i="1"/>
  <c r="H173" i="1" s="1"/>
  <c r="I173" i="1" s="1"/>
  <c r="G174" i="1"/>
  <c r="H174" i="1" s="1"/>
  <c r="I174" i="1" s="1"/>
  <c r="G175" i="1"/>
  <c r="H175" i="1" s="1"/>
  <c r="I175" i="1" s="1"/>
  <c r="G176" i="1"/>
  <c r="H176" i="1" s="1"/>
  <c r="I176" i="1" s="1"/>
  <c r="G177" i="1"/>
  <c r="H177" i="1" s="1"/>
  <c r="I177" i="1" s="1"/>
  <c r="G178" i="1"/>
  <c r="H178" i="1" s="1"/>
  <c r="I178" i="1" s="1"/>
  <c r="G179" i="1"/>
  <c r="H179" i="1" s="1"/>
  <c r="I179" i="1" s="1"/>
  <c r="G180" i="1"/>
  <c r="H180" i="1" s="1"/>
  <c r="I180" i="1" s="1"/>
  <c r="G181" i="1"/>
  <c r="H181" i="1" s="1"/>
  <c r="I181" i="1" s="1"/>
  <c r="G182" i="1"/>
  <c r="H182" i="1" s="1"/>
  <c r="I182" i="1" s="1"/>
  <c r="G183" i="1"/>
  <c r="H183" i="1" s="1"/>
  <c r="I183" i="1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" i="1"/>
  <c r="H2" i="1" s="1"/>
  <c r="E192" i="1"/>
  <c r="D192" i="1"/>
  <c r="C192" i="1"/>
  <c r="E191" i="1"/>
  <c r="D191" i="1"/>
  <c r="C191" i="1"/>
  <c r="B191" i="1"/>
  <c r="E190" i="1"/>
  <c r="D190" i="1"/>
  <c r="C190" i="1"/>
  <c r="B190" i="1"/>
  <c r="E189" i="1"/>
  <c r="D189" i="1"/>
  <c r="C189" i="1"/>
  <c r="B189" i="1"/>
  <c r="E188" i="1"/>
  <c r="D188" i="1"/>
  <c r="C188" i="1"/>
  <c r="B188" i="1"/>
  <c r="E187" i="1"/>
  <c r="D187" i="1"/>
  <c r="C187" i="1"/>
  <c r="C186" i="1"/>
  <c r="B186" i="1"/>
  <c r="B192" i="1"/>
  <c r="B187" i="1"/>
  <c r="R3" i="1" l="1"/>
  <c r="S3" i="1" s="1"/>
  <c r="R8" i="1"/>
  <c r="S8" i="1" s="1"/>
  <c r="R40" i="1"/>
  <c r="S40" i="1" s="1"/>
  <c r="R79" i="1"/>
  <c r="S79" i="1" s="1"/>
  <c r="R127" i="1"/>
  <c r="S127" i="1" s="1"/>
  <c r="J97" i="1"/>
  <c r="J34" i="1"/>
  <c r="R10" i="1"/>
  <c r="S10" i="1" s="1"/>
  <c r="R9" i="1"/>
  <c r="S9" i="1" s="1"/>
  <c r="R183" i="1"/>
  <c r="S183" i="1" s="1"/>
  <c r="R4" i="1"/>
  <c r="S4" i="1" s="1"/>
  <c r="R7" i="1"/>
  <c r="S7" i="1" s="1"/>
  <c r="R11" i="1"/>
  <c r="S11" i="1" s="1"/>
  <c r="R5" i="1"/>
  <c r="S5" i="1" s="1"/>
  <c r="R6" i="1"/>
  <c r="S6" i="1" s="1"/>
  <c r="T2" i="1"/>
  <c r="C206" i="1" s="1"/>
  <c r="U2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76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98" i="1"/>
  <c r="C195" i="1"/>
  <c r="C197" i="1"/>
  <c r="C196" i="1"/>
  <c r="I2" i="1"/>
  <c r="B195" i="1"/>
  <c r="B197" i="1"/>
  <c r="D195" i="1"/>
  <c r="D197" i="1"/>
  <c r="B196" i="1"/>
  <c r="D196" i="1"/>
  <c r="K21" i="1" l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76" i="1"/>
  <c r="O134" i="1"/>
  <c r="O99" i="1"/>
  <c r="O103" i="1"/>
  <c r="O168" i="1"/>
  <c r="O169" i="1"/>
  <c r="O108" i="1"/>
  <c r="O173" i="1"/>
  <c r="O114" i="1"/>
  <c r="O178" i="1"/>
  <c r="O181" i="1"/>
  <c r="O121" i="1"/>
  <c r="O123" i="1"/>
  <c r="O183" i="1"/>
  <c r="O109" i="1"/>
  <c r="O126" i="1"/>
  <c r="O117" i="1"/>
  <c r="O112" i="1"/>
  <c r="O113" i="1"/>
  <c r="O98" i="1"/>
  <c r="O100" i="1"/>
  <c r="O101" i="1"/>
  <c r="O102" i="1"/>
  <c r="O149" i="1"/>
  <c r="O106" i="1"/>
  <c r="O153" i="1"/>
  <c r="O107" i="1"/>
  <c r="O110" i="1"/>
  <c r="O118" i="1"/>
  <c r="O125" i="1"/>
  <c r="O155" i="1"/>
  <c r="O162" i="1"/>
  <c r="O138" i="1"/>
  <c r="O120" i="1"/>
  <c r="O139" i="1"/>
  <c r="O119" i="1"/>
  <c r="O145" i="1"/>
  <c r="O105" i="1"/>
  <c r="O116" i="1"/>
  <c r="O164" i="1"/>
  <c r="O124" i="1"/>
  <c r="O128" i="1"/>
  <c r="O129" i="1"/>
  <c r="O130" i="1"/>
  <c r="O132" i="1"/>
  <c r="O133" i="1"/>
  <c r="O135" i="1"/>
  <c r="O136" i="1"/>
  <c r="O137" i="1"/>
  <c r="O140" i="1"/>
  <c r="O143" i="1"/>
  <c r="O146" i="1"/>
  <c r="O147" i="1"/>
  <c r="O150" i="1"/>
  <c r="O152" i="1"/>
  <c r="O156" i="1"/>
  <c r="O157" i="1"/>
  <c r="O159" i="1"/>
  <c r="O163" i="1"/>
  <c r="O166" i="1"/>
  <c r="O167" i="1"/>
  <c r="O171" i="1"/>
  <c r="O172" i="1"/>
  <c r="O175" i="1"/>
  <c r="O176" i="1"/>
  <c r="O179" i="1"/>
  <c r="O182" i="1"/>
  <c r="O104" i="1"/>
  <c r="O111" i="1"/>
  <c r="O115" i="1"/>
  <c r="O122" i="1"/>
  <c r="O127" i="1"/>
  <c r="O131" i="1"/>
  <c r="O141" i="1"/>
  <c r="O142" i="1"/>
  <c r="O144" i="1"/>
  <c r="O148" i="1"/>
  <c r="O151" i="1"/>
  <c r="O154" i="1"/>
  <c r="O158" i="1"/>
  <c r="O160" i="1"/>
  <c r="O161" i="1"/>
  <c r="O165" i="1"/>
  <c r="O170" i="1"/>
  <c r="O174" i="1"/>
  <c r="O177" i="1"/>
  <c r="O180" i="1"/>
  <c r="K58" i="1"/>
  <c r="K59" i="1"/>
  <c r="K60" i="1"/>
  <c r="K68" i="1"/>
  <c r="K86" i="1"/>
  <c r="K87" i="1"/>
  <c r="K93" i="1"/>
  <c r="K95" i="1"/>
  <c r="K2" i="1"/>
  <c r="K57" i="1"/>
  <c r="K62" i="1"/>
  <c r="K64" i="1"/>
  <c r="K67" i="1"/>
  <c r="K71" i="1"/>
  <c r="K72" i="1"/>
  <c r="K73" i="1"/>
  <c r="K74" i="1"/>
  <c r="K97" i="1"/>
  <c r="K77" i="1"/>
  <c r="K78" i="1"/>
  <c r="K79" i="1"/>
  <c r="K80" i="1"/>
  <c r="K81" i="1"/>
  <c r="K82" i="1"/>
  <c r="K83" i="1"/>
  <c r="K84" i="1"/>
  <c r="K85" i="1"/>
  <c r="K88" i="1"/>
  <c r="K89" i="1"/>
  <c r="K94" i="1"/>
  <c r="K61" i="1"/>
  <c r="K63" i="1"/>
  <c r="K65" i="1"/>
  <c r="K66" i="1"/>
  <c r="K69" i="1"/>
  <c r="K70" i="1"/>
  <c r="K75" i="1"/>
  <c r="K90" i="1"/>
  <c r="K91" i="1"/>
  <c r="K92" i="1"/>
  <c r="K96" i="1"/>
  <c r="C199" i="1"/>
  <c r="C198" i="1"/>
  <c r="C200" i="1"/>
  <c r="B198" i="1"/>
  <c r="D199" i="1"/>
  <c r="B199" i="1"/>
  <c r="D198" i="1"/>
  <c r="D200" i="1"/>
  <c r="B200" i="1"/>
  <c r="P98" i="1" l="1"/>
  <c r="Q98" i="1"/>
  <c r="M2" i="1"/>
  <c r="L2" i="1"/>
  <c r="C205" i="1" l="1"/>
  <c r="C204" i="1"/>
</calcChain>
</file>

<file path=xl/sharedStrings.xml><?xml version="1.0" encoding="utf-8"?>
<sst xmlns="http://schemas.openxmlformats.org/spreadsheetml/2006/main" count="419" uniqueCount="236">
  <si>
    <t>Sample ID</t>
  </si>
  <si>
    <t>SAKSHAM-PRS</t>
  </si>
  <si>
    <t>HG01583</t>
  </si>
  <si>
    <t>HG01586</t>
  </si>
  <si>
    <t>HG01589</t>
  </si>
  <si>
    <t>HG01593</t>
  </si>
  <si>
    <t>HG02490</t>
  </si>
  <si>
    <t>HG02491</t>
  </si>
  <si>
    <t>HG02493</t>
  </si>
  <si>
    <t>HG02494</t>
  </si>
  <si>
    <t>HG02597</t>
  </si>
  <si>
    <t>HG02600</t>
  </si>
  <si>
    <t>HG02601</t>
  </si>
  <si>
    <t>HG02603</t>
  </si>
  <si>
    <t>HG02604</t>
  </si>
  <si>
    <t>HG02648</t>
  </si>
  <si>
    <t>HG02649</t>
  </si>
  <si>
    <t>HG02651</t>
  </si>
  <si>
    <t>HG02652</t>
  </si>
  <si>
    <t>HG02654</t>
  </si>
  <si>
    <t>HG02655</t>
  </si>
  <si>
    <t>HG02657</t>
  </si>
  <si>
    <t>HG02658</t>
  </si>
  <si>
    <t>HG02660</t>
  </si>
  <si>
    <t>HG02661</t>
  </si>
  <si>
    <t>HG02681</t>
  </si>
  <si>
    <t>HG02682</t>
  </si>
  <si>
    <t>HG02684</t>
  </si>
  <si>
    <t>HG02685</t>
  </si>
  <si>
    <t>HG02687</t>
  </si>
  <si>
    <t>HG02688</t>
  </si>
  <si>
    <t>HG02690</t>
  </si>
  <si>
    <t>HG02691</t>
  </si>
  <si>
    <t>HG02694</t>
  </si>
  <si>
    <t>HG02696</t>
  </si>
  <si>
    <t>HG02697</t>
  </si>
  <si>
    <t>HG02699</t>
  </si>
  <si>
    <t>HG02700</t>
  </si>
  <si>
    <t>HG02724</t>
  </si>
  <si>
    <t>HG02725</t>
  </si>
  <si>
    <t>HG02727</t>
  </si>
  <si>
    <t>HG02728</t>
  </si>
  <si>
    <t>HG02731</t>
  </si>
  <si>
    <t>HG02733</t>
  </si>
  <si>
    <t>HG02734</t>
  </si>
  <si>
    <t>HG02736</t>
  </si>
  <si>
    <t>HG02737</t>
  </si>
  <si>
    <t>HG02774</t>
  </si>
  <si>
    <t>HG02775</t>
  </si>
  <si>
    <t>HG02778</t>
  </si>
  <si>
    <t>HG02780</t>
  </si>
  <si>
    <t>HG02783</t>
  </si>
  <si>
    <t>HG02784</t>
  </si>
  <si>
    <t>HG02786</t>
  </si>
  <si>
    <t>HG02787</t>
  </si>
  <si>
    <t>HG02789</t>
  </si>
  <si>
    <t>HG02790</t>
  </si>
  <si>
    <t>HG02792</t>
  </si>
  <si>
    <t>HG02793</t>
  </si>
  <si>
    <t>HG03015</t>
  </si>
  <si>
    <t>HG03016</t>
  </si>
  <si>
    <t>HG03018</t>
  </si>
  <si>
    <t>HG03019</t>
  </si>
  <si>
    <t>HG03021</t>
  </si>
  <si>
    <t>HG03022</t>
  </si>
  <si>
    <t>HG03228</t>
  </si>
  <si>
    <t>HG03229</t>
  </si>
  <si>
    <t>HG03234</t>
  </si>
  <si>
    <t>HG03235</t>
  </si>
  <si>
    <t>HG03237</t>
  </si>
  <si>
    <t>HG03238</t>
  </si>
  <si>
    <t>HG03488</t>
  </si>
  <si>
    <t>HG03490</t>
  </si>
  <si>
    <t>HG03491</t>
  </si>
  <si>
    <t>HG03619</t>
  </si>
  <si>
    <t>HG03624</t>
  </si>
  <si>
    <t>HG03625</t>
  </si>
  <si>
    <t>HG03629</t>
  </si>
  <si>
    <t>HG03631</t>
  </si>
  <si>
    <t>HG03634</t>
  </si>
  <si>
    <t>HG03636</t>
  </si>
  <si>
    <t>HG03640</t>
  </si>
  <si>
    <t>HG03649</t>
  </si>
  <si>
    <t>HG03652</t>
  </si>
  <si>
    <t>HG03653</t>
  </si>
  <si>
    <t>HG03660</t>
  </si>
  <si>
    <t>HG03663</t>
  </si>
  <si>
    <t>HG03667</t>
  </si>
  <si>
    <t>HG03668</t>
  </si>
  <si>
    <t>HG03702</t>
  </si>
  <si>
    <t>HG03703</t>
  </si>
  <si>
    <t>HG03705</t>
  </si>
  <si>
    <t>HG03706</t>
  </si>
  <si>
    <t>HG03708</t>
  </si>
  <si>
    <t>HG03709</t>
  </si>
  <si>
    <t>HG03762</t>
  </si>
  <si>
    <t>HG03765</t>
  </si>
  <si>
    <t>HG03767</t>
  </si>
  <si>
    <t>PRScs-european</t>
  </si>
  <si>
    <t>PRScs-european variants</t>
  </si>
  <si>
    <t>Population</t>
  </si>
  <si>
    <t>PJL</t>
  </si>
  <si>
    <t>HG03006</t>
  </si>
  <si>
    <t>HG03007</t>
  </si>
  <si>
    <t>HG03009</t>
  </si>
  <si>
    <t>HG03012</t>
  </si>
  <si>
    <t>HG03585</t>
  </si>
  <si>
    <t>HG03589</t>
  </si>
  <si>
    <t>HG03593</t>
  </si>
  <si>
    <t>HG03594</t>
  </si>
  <si>
    <t>HG03595</t>
  </si>
  <si>
    <t>HG03598</t>
  </si>
  <si>
    <t>HG03600</t>
  </si>
  <si>
    <t>HG03603</t>
  </si>
  <si>
    <t>HG03604</t>
  </si>
  <si>
    <t>HG03607</t>
  </si>
  <si>
    <t>HG03611</t>
  </si>
  <si>
    <t>HG03615</t>
  </si>
  <si>
    <t>HG03616</t>
  </si>
  <si>
    <t>HG03793</t>
  </si>
  <si>
    <t>HG03796</t>
  </si>
  <si>
    <t>HG03800</t>
  </si>
  <si>
    <t>HG03802</t>
  </si>
  <si>
    <t>HG03803</t>
  </si>
  <si>
    <t>HG03805</t>
  </si>
  <si>
    <t>HG03808</t>
  </si>
  <si>
    <t>HG03809</t>
  </si>
  <si>
    <t>HG03812</t>
  </si>
  <si>
    <t>HG03814</t>
  </si>
  <si>
    <t>HG03815</t>
  </si>
  <si>
    <t>HG03817</t>
  </si>
  <si>
    <t>HG03821</t>
  </si>
  <si>
    <t>HG03823</t>
  </si>
  <si>
    <t>HG03824</t>
  </si>
  <si>
    <t>HG03826</t>
  </si>
  <si>
    <t>HG03829</t>
  </si>
  <si>
    <t>HG03830</t>
  </si>
  <si>
    <t>HG03832</t>
  </si>
  <si>
    <t>HG03833</t>
  </si>
  <si>
    <t>HG03902</t>
  </si>
  <si>
    <t>HG03905</t>
  </si>
  <si>
    <t>HG03907</t>
  </si>
  <si>
    <t>HG03908</t>
  </si>
  <si>
    <t>HG03910</t>
  </si>
  <si>
    <t>HG03911</t>
  </si>
  <si>
    <t>HG03913</t>
  </si>
  <si>
    <t>HG03914</t>
  </si>
  <si>
    <t>HG03916</t>
  </si>
  <si>
    <t>HG03917</t>
  </si>
  <si>
    <t>HG03919</t>
  </si>
  <si>
    <t>HG03920</t>
  </si>
  <si>
    <t>HG03922</t>
  </si>
  <si>
    <t>HG03925</t>
  </si>
  <si>
    <t>HG03926</t>
  </si>
  <si>
    <t>HG03928</t>
  </si>
  <si>
    <t>HG03931</t>
  </si>
  <si>
    <t>HG03934</t>
  </si>
  <si>
    <t>HG03937</t>
  </si>
  <si>
    <t>HG03940</t>
  </si>
  <si>
    <t>HG03941</t>
  </si>
  <si>
    <t>HG04131</t>
  </si>
  <si>
    <t>HG04134</t>
  </si>
  <si>
    <t>HG04140</t>
  </si>
  <si>
    <t>HG04141</t>
  </si>
  <si>
    <t>HG04144</t>
  </si>
  <si>
    <t>HG04146</t>
  </si>
  <si>
    <t>HG04152</t>
  </si>
  <si>
    <t>HG04153</t>
  </si>
  <si>
    <t>HG04155</t>
  </si>
  <si>
    <t>HG04156</t>
  </si>
  <si>
    <t>HG04158</t>
  </si>
  <si>
    <t>HG04159</t>
  </si>
  <si>
    <t>HG04161</t>
  </si>
  <si>
    <t>HG04162</t>
  </si>
  <si>
    <t>HG04164</t>
  </si>
  <si>
    <t>HG04171</t>
  </si>
  <si>
    <t>HG04173</t>
  </si>
  <si>
    <t>HG04176</t>
  </si>
  <si>
    <t>HG04177</t>
  </si>
  <si>
    <t>HG04180</t>
  </si>
  <si>
    <t>HG04182</t>
  </si>
  <si>
    <t>HG04183</t>
  </si>
  <si>
    <t>HG04185</t>
  </si>
  <si>
    <t>HG04186</t>
  </si>
  <si>
    <t>HG04188</t>
  </si>
  <si>
    <t>HG04189</t>
  </si>
  <si>
    <t>HG04194</t>
  </si>
  <si>
    <t>HG04195</t>
  </si>
  <si>
    <t>BEB</t>
  </si>
  <si>
    <t>N</t>
  </si>
  <si>
    <t>Mean</t>
  </si>
  <si>
    <t>Median</t>
  </si>
  <si>
    <t>SD</t>
  </si>
  <si>
    <t>IQR</t>
  </si>
  <si>
    <t>Min</t>
  </si>
  <si>
    <t>Max</t>
  </si>
  <si>
    <t>SAKSHAM-prs variants</t>
  </si>
  <si>
    <t xml:space="preserve">SAKSHAM-prs </t>
  </si>
  <si>
    <t>PRScs European</t>
  </si>
  <si>
    <t>PRScs-European variants</t>
  </si>
  <si>
    <t>Ablated Saksham-PRS</t>
  </si>
  <si>
    <t>Ablation Change</t>
  </si>
  <si>
    <t>Absolute Change</t>
  </si>
  <si>
    <t>Ablation statistic</t>
  </si>
  <si>
    <t>PJL (n=96)</t>
  </si>
  <si>
    <t>BEB (n=86)</t>
  </si>
  <si>
    <t>Combined (n=182)</t>
  </si>
  <si>
    <t>Mean change</t>
  </si>
  <si>
    <t>Median change</t>
  </si>
  <si>
    <t>SD of change</t>
  </si>
  <si>
    <t>Mean absolute change</t>
  </si>
  <si>
    <t>Median absolute change</t>
  </si>
  <si>
    <t>Maximum absolute change</t>
  </si>
  <si>
    <r>
      <rPr>
        <b/>
        <sz val="11"/>
        <color theme="1"/>
        <rFont val="Calibri"/>
        <family val="2"/>
        <scheme val="minor"/>
      </rPr>
      <t>SAKSHAM-PRS variant</t>
    </r>
    <r>
      <rPr>
        <sz val="11"/>
        <color theme="1"/>
        <rFont val="Calibri"/>
        <family val="2"/>
        <scheme val="minor"/>
      </rPr>
      <t>s</t>
    </r>
  </si>
  <si>
    <t>Wilcoxon Test</t>
  </si>
  <si>
    <t>Combined</t>
  </si>
  <si>
    <t>n</t>
  </si>
  <si>
    <t>Wilcoxon</t>
  </si>
  <si>
    <t>p-value</t>
  </si>
  <si>
    <t>Negative rank sum-BEB</t>
  </si>
  <si>
    <t>PJL Rank</t>
  </si>
  <si>
    <t>PJL Signed Rank</t>
  </si>
  <si>
    <t>PJL Positive Rank Sum</t>
  </si>
  <si>
    <t>PJL Negative Rank Sum</t>
  </si>
  <si>
    <t>BEB Rank</t>
  </si>
  <si>
    <t>BEB Signed Rank</t>
  </si>
  <si>
    <t>BEB Positive Rank Sum</t>
  </si>
  <si>
    <t>Combined Rank</t>
  </si>
  <si>
    <t>Combined Signed Rank</t>
  </si>
  <si>
    <t>Non-zero Absolute Change</t>
  </si>
  <si>
    <t>Combined positive rank</t>
  </si>
  <si>
    <t>Combined Negative Rank</t>
  </si>
  <si>
    <t>Metric</t>
  </si>
  <si>
    <t>Value</t>
  </si>
  <si>
    <t>Mean Absolute Variant Contribution (% of SAKSHAM SD)</t>
  </si>
  <si>
    <t>Maximum Absolute Variant Contribution (% of SAKSHAM 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</si>
</sst>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10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79722-96DB-4B37-AF04-A4759880D282}">
  <dimension ref="A1:V210"/>
  <sheetViews>
    <sheetView tabSelected="1" topLeftCell="A199" zoomScale="70" zoomScaleNormal="70" workbookViewId="0">
      <selection activeCell="G187" sqref="G187"/>
    </sheetView>
  </sheetViews>
  <sheetFormatPr defaultRowHeight="14.5" x14ac:dyDescent="0.35"/>
  <cols>
    <col min="1" max="1" width="15.7265625" customWidth="1"/>
    <col min="2" max="2" width="24.54296875" customWidth="1"/>
    <col min="3" max="3" width="21.54296875" customWidth="1"/>
    <col min="4" max="4" width="15.54296875" customWidth="1"/>
    <col min="5" max="5" width="26.36328125" customWidth="1"/>
    <col min="6" max="6" width="12.36328125" customWidth="1"/>
    <col min="7" max="7" width="18.453125" customWidth="1"/>
    <col min="8" max="8" width="14.36328125" customWidth="1"/>
    <col min="9" max="9" width="16.6328125" customWidth="1"/>
    <col min="10" max="10" width="21.6328125" customWidth="1"/>
    <col min="11" max="11" width="13.26953125" customWidth="1"/>
    <col min="12" max="12" width="20.6328125" customWidth="1"/>
    <col min="13" max="13" width="20" customWidth="1"/>
    <col min="14" max="14" width="25.6328125" customWidth="1"/>
    <col min="15" max="15" width="17" customWidth="1"/>
    <col min="16" max="16" width="21.453125" customWidth="1"/>
    <col min="17" max="17" width="20.90625" customWidth="1"/>
    <col min="18" max="18" width="18.1796875" customWidth="1"/>
    <col min="19" max="19" width="32" customWidth="1"/>
    <col min="20" max="20" width="40.90625" customWidth="1"/>
    <col min="21" max="21" width="49.26953125" customWidth="1"/>
    <col min="22" max="22" width="34.54296875" customWidth="1"/>
  </cols>
  <sheetData>
    <row r="1" spans="1:22" x14ac:dyDescent="0.35">
      <c r="A1" s="5" t="s">
        <v>0</v>
      </c>
      <c r="B1" s="5" t="s">
        <v>1</v>
      </c>
      <c r="C1" t="s">
        <v>213</v>
      </c>
      <c r="D1" s="5" t="s">
        <v>98</v>
      </c>
      <c r="E1" s="5" t="s">
        <v>99</v>
      </c>
      <c r="F1" s="5" t="s">
        <v>100</v>
      </c>
      <c r="G1" s="5" t="s">
        <v>200</v>
      </c>
      <c r="H1" s="5" t="s">
        <v>201</v>
      </c>
      <c r="I1" s="5" t="s">
        <v>202</v>
      </c>
      <c r="J1" s="5" t="s">
        <v>220</v>
      </c>
      <c r="K1" s="5" t="s">
        <v>221</v>
      </c>
      <c r="L1" s="5" t="s">
        <v>222</v>
      </c>
      <c r="M1" s="5" t="s">
        <v>223</v>
      </c>
      <c r="N1" s="5" t="s">
        <v>224</v>
      </c>
      <c r="O1" s="5" t="s">
        <v>225</v>
      </c>
      <c r="P1" s="5" t="s">
        <v>226</v>
      </c>
      <c r="Q1" s="5" t="s">
        <v>219</v>
      </c>
      <c r="R1" s="5" t="s">
        <v>227</v>
      </c>
      <c r="S1" s="5" t="s">
        <v>228</v>
      </c>
      <c r="T1" s="5" t="s">
        <v>230</v>
      </c>
      <c r="U1" s="5" t="s">
        <v>231</v>
      </c>
      <c r="V1" s="5" t="s">
        <v>229</v>
      </c>
    </row>
    <row r="2" spans="1:22" x14ac:dyDescent="0.35">
      <c r="A2" t="s">
        <v>2</v>
      </c>
      <c r="B2">
        <v>-9.6151460179999995E-2</v>
      </c>
      <c r="C2">
        <v>1.1494916479999999E-4</v>
      </c>
      <c r="D2">
        <v>-6.9453800000000001E-3</v>
      </c>
      <c r="E2" s="1">
        <v>5.5799800000000001E-5</v>
      </c>
      <c r="F2" t="s">
        <v>101</v>
      </c>
      <c r="G2">
        <f>B2-C2</f>
        <v>-9.6266409344799991E-2</v>
      </c>
      <c r="H2">
        <f>B2-G2</f>
        <v>1.1494916479999617E-4</v>
      </c>
      <c r="I2">
        <f>ABS(H2)</f>
        <v>1.1494916479999617E-4</v>
      </c>
      <c r="J2">
        <f>IF(V2="","",_xlfn.RANK.AVG(V2,$V$2:$V$97,1))</f>
        <v>16</v>
      </c>
      <c r="K2">
        <f>SIGN(H2)*J2</f>
        <v>16</v>
      </c>
      <c r="L2">
        <f>SUMIF(K2:K97,"&gt;0",K2:K97)</f>
        <v>2014</v>
      </c>
      <c r="M2">
        <f>ABS(SUMIF(K2:K97,"&lt;0",K2:K97))</f>
        <v>2357</v>
      </c>
      <c r="R2">
        <f>IF(V2="","",_xlfn.RANK.AVG(V2,$V$2:$V$183,1))</f>
        <v>28.5</v>
      </c>
      <c r="S2">
        <f>SIGN(H2)*R2</f>
        <v>28.5</v>
      </c>
      <c r="T2">
        <f>SUMIF(S2:S183,"&gt;0",S2:S183)</f>
        <v>7268</v>
      </c>
      <c r="U2">
        <f>ABS(SUMIF(S2:S183,"&lt;0",S2:S183))</f>
        <v>8308</v>
      </c>
      <c r="V2">
        <f>IF(H2=0,"",I2)</f>
        <v>1.1494916479999617E-4</v>
      </c>
    </row>
    <row r="3" spans="1:22" x14ac:dyDescent="0.35">
      <c r="A3" t="s">
        <v>3</v>
      </c>
      <c r="B3">
        <v>-0.286720531</v>
      </c>
      <c r="C3">
        <v>-3.4574751049999998E-3</v>
      </c>
      <c r="D3">
        <v>-0.21076800000000001</v>
      </c>
      <c r="E3">
        <v>-6.5463300000000004E-3</v>
      </c>
      <c r="F3" t="s">
        <v>101</v>
      </c>
      <c r="G3">
        <f t="shared" ref="G3:G66" si="0">B3-C3</f>
        <v>-0.283263055895</v>
      </c>
      <c r="H3">
        <f t="shared" ref="H3:H66" si="1">B3-G3</f>
        <v>-3.4574751049999963E-3</v>
      </c>
      <c r="I3">
        <f>ABS(H3)</f>
        <v>3.4574751049999963E-3</v>
      </c>
      <c r="J3">
        <f t="shared" ref="J3:J66" si="2">IF(V3="","",_xlfn.RANK.AVG(V3,$V$2:$V$97,1))</f>
        <v>92</v>
      </c>
      <c r="K3">
        <f t="shared" ref="K3:K66" si="3">SIGN(H3)*J3</f>
        <v>-92</v>
      </c>
      <c r="R3">
        <f t="shared" ref="R3:R66" si="4">IF(V3="","",_xlfn.RANK.AVG(V3,$V$2:$V$183,1))</f>
        <v>170</v>
      </c>
      <c r="S3">
        <f t="shared" ref="S3:S66" si="5">SIGN(H3)*R3</f>
        <v>-170</v>
      </c>
      <c r="V3">
        <f t="shared" ref="V3:V66" si="6">IF(H3=0,"",I3)</f>
        <v>3.4574751049999963E-3</v>
      </c>
    </row>
    <row r="4" spans="1:22" x14ac:dyDescent="0.35">
      <c r="A4" t="s">
        <v>4</v>
      </c>
      <c r="B4">
        <v>0.984991799</v>
      </c>
      <c r="C4" s="1">
        <v>4.8323488499999903E-5</v>
      </c>
      <c r="D4">
        <v>1.9754700000000001</v>
      </c>
      <c r="E4" s="1">
        <v>-6.6813500000000007E-5</v>
      </c>
      <c r="F4" t="s">
        <v>101</v>
      </c>
      <c r="G4">
        <f t="shared" si="0"/>
        <v>0.98494347551149997</v>
      </c>
      <c r="H4">
        <f t="shared" si="1"/>
        <v>4.8323488500034983E-5</v>
      </c>
      <c r="I4">
        <f t="shared" ref="I3:I66" si="7">ABS(H4)</f>
        <v>4.8323488500034983E-5</v>
      </c>
      <c r="J4">
        <f t="shared" si="2"/>
        <v>5.5</v>
      </c>
      <c r="K4">
        <f t="shared" si="3"/>
        <v>5.5</v>
      </c>
      <c r="R4">
        <f t="shared" si="4"/>
        <v>9.5</v>
      </c>
      <c r="S4">
        <f t="shared" si="5"/>
        <v>9.5</v>
      </c>
      <c r="V4">
        <f t="shared" si="6"/>
        <v>4.8323488500034983E-5</v>
      </c>
    </row>
    <row r="5" spans="1:22" x14ac:dyDescent="0.35">
      <c r="A5" t="s">
        <v>5</v>
      </c>
      <c r="B5">
        <v>-0.361527665</v>
      </c>
      <c r="C5">
        <v>4.57952969E-4</v>
      </c>
      <c r="D5">
        <v>-0.49241499999999999</v>
      </c>
      <c r="E5">
        <v>8.0391499999999999E-4</v>
      </c>
      <c r="F5" t="s">
        <v>101</v>
      </c>
      <c r="G5">
        <f t="shared" si="0"/>
        <v>-0.36198561796899997</v>
      </c>
      <c r="H5">
        <f t="shared" si="1"/>
        <v>4.5795296899997506E-4</v>
      </c>
      <c r="I5">
        <f t="shared" si="7"/>
        <v>4.5795296899997506E-4</v>
      </c>
      <c r="J5">
        <f t="shared" si="2"/>
        <v>50</v>
      </c>
      <c r="K5">
        <f t="shared" si="3"/>
        <v>50</v>
      </c>
      <c r="R5">
        <f t="shared" si="4"/>
        <v>101</v>
      </c>
      <c r="S5">
        <f t="shared" si="5"/>
        <v>101</v>
      </c>
      <c r="V5">
        <f t="shared" si="6"/>
        <v>4.5795296899997506E-4</v>
      </c>
    </row>
    <row r="6" spans="1:22" x14ac:dyDescent="0.35">
      <c r="A6" t="s">
        <v>6</v>
      </c>
      <c r="B6">
        <v>0.60939624999999997</v>
      </c>
      <c r="C6">
        <v>-3.1880073290000001E-3</v>
      </c>
      <c r="D6">
        <v>1.22587</v>
      </c>
      <c r="E6">
        <v>-5.8718299999999998E-3</v>
      </c>
      <c r="F6" t="s">
        <v>101</v>
      </c>
      <c r="G6">
        <f t="shared" si="0"/>
        <v>0.61258425732900001</v>
      </c>
      <c r="H6">
        <f t="shared" si="1"/>
        <v>-3.1880073290000421E-3</v>
      </c>
      <c r="I6">
        <f t="shared" si="7"/>
        <v>3.1880073290000421E-3</v>
      </c>
      <c r="J6">
        <f t="shared" si="2"/>
        <v>85</v>
      </c>
      <c r="K6">
        <f t="shared" si="3"/>
        <v>-85</v>
      </c>
      <c r="R6">
        <f t="shared" si="4"/>
        <v>156</v>
      </c>
      <c r="S6">
        <f t="shared" si="5"/>
        <v>-156</v>
      </c>
      <c r="V6">
        <f t="shared" si="6"/>
        <v>3.1880073290000421E-3</v>
      </c>
    </row>
    <row r="7" spans="1:22" x14ac:dyDescent="0.35">
      <c r="A7" t="s">
        <v>7</v>
      </c>
      <c r="B7">
        <v>-0.71522485000000002</v>
      </c>
      <c r="C7">
        <v>5.8001058759999996E-4</v>
      </c>
      <c r="D7">
        <v>-1.0324599999999999</v>
      </c>
      <c r="E7">
        <v>9.1624399999999998E-4</v>
      </c>
      <c r="F7" t="s">
        <v>101</v>
      </c>
      <c r="G7">
        <f t="shared" si="0"/>
        <v>-0.71580486058760007</v>
      </c>
      <c r="H7">
        <f t="shared" si="1"/>
        <v>5.8001058760004387E-4</v>
      </c>
      <c r="I7">
        <f t="shared" si="7"/>
        <v>5.8001058760004387E-4</v>
      </c>
      <c r="J7">
        <f t="shared" si="2"/>
        <v>58</v>
      </c>
      <c r="K7">
        <f t="shared" si="3"/>
        <v>58</v>
      </c>
      <c r="R7">
        <f t="shared" si="4"/>
        <v>114</v>
      </c>
      <c r="S7">
        <f t="shared" si="5"/>
        <v>114</v>
      </c>
      <c r="V7">
        <f t="shared" si="6"/>
        <v>5.8001058760004387E-4</v>
      </c>
    </row>
    <row r="8" spans="1:22" x14ac:dyDescent="0.35">
      <c r="A8" t="s">
        <v>8</v>
      </c>
      <c r="B8">
        <v>-0.38407705920000001</v>
      </c>
      <c r="C8" s="1">
        <v>-7.1892648999999896E-5</v>
      </c>
      <c r="D8">
        <v>3.5110799999999998E-2</v>
      </c>
      <c r="E8">
        <v>-6.8270899999999999E-4</v>
      </c>
      <c r="F8" t="s">
        <v>101</v>
      </c>
      <c r="G8">
        <f t="shared" si="0"/>
        <v>-0.38400516655100003</v>
      </c>
      <c r="H8">
        <f t="shared" si="1"/>
        <v>-7.1892648999982711E-5</v>
      </c>
      <c r="I8">
        <f t="shared" si="7"/>
        <v>7.1892648999982711E-5</v>
      </c>
      <c r="J8">
        <f t="shared" si="2"/>
        <v>9</v>
      </c>
      <c r="K8">
        <f t="shared" si="3"/>
        <v>-9</v>
      </c>
      <c r="R8">
        <f t="shared" si="4"/>
        <v>17</v>
      </c>
      <c r="S8">
        <f t="shared" si="5"/>
        <v>-17</v>
      </c>
      <c r="V8">
        <f t="shared" si="6"/>
        <v>7.1892648999982711E-5</v>
      </c>
    </row>
    <row r="9" spans="1:22" x14ac:dyDescent="0.35">
      <c r="A9" t="s">
        <v>9</v>
      </c>
      <c r="B9">
        <v>1.4685264499999999</v>
      </c>
      <c r="C9">
        <v>3.4985224420000001E-4</v>
      </c>
      <c r="D9">
        <v>1.95095</v>
      </c>
      <c r="E9" s="1">
        <v>3.0559199999999997E-5</v>
      </c>
      <c r="F9" t="s">
        <v>101</v>
      </c>
      <c r="G9">
        <f t="shared" si="0"/>
        <v>1.4681765977557999</v>
      </c>
      <c r="H9">
        <f t="shared" si="1"/>
        <v>3.4985224420003291E-4</v>
      </c>
      <c r="I9">
        <f t="shared" si="7"/>
        <v>3.4985224420003291E-4</v>
      </c>
      <c r="J9">
        <f t="shared" si="2"/>
        <v>39</v>
      </c>
      <c r="K9">
        <f t="shared" si="3"/>
        <v>39</v>
      </c>
      <c r="R9">
        <f t="shared" si="4"/>
        <v>81</v>
      </c>
      <c r="S9">
        <f t="shared" si="5"/>
        <v>81</v>
      </c>
      <c r="V9">
        <f t="shared" si="6"/>
        <v>3.4985224420003291E-4</v>
      </c>
    </row>
    <row r="10" spans="1:22" x14ac:dyDescent="0.35">
      <c r="A10" t="s">
        <v>10</v>
      </c>
      <c r="B10">
        <v>-7.2853125999999893E-2</v>
      </c>
      <c r="C10">
        <v>4.2957635460000001E-4</v>
      </c>
      <c r="D10">
        <v>-0.28353400000000001</v>
      </c>
      <c r="E10">
        <v>3.7391099999999999E-4</v>
      </c>
      <c r="F10" t="s">
        <v>101</v>
      </c>
      <c r="G10">
        <f t="shared" si="0"/>
        <v>-7.3282702354599896E-2</v>
      </c>
      <c r="H10">
        <f t="shared" si="1"/>
        <v>4.295763546000031E-4</v>
      </c>
      <c r="I10">
        <f t="shared" si="7"/>
        <v>4.295763546000031E-4</v>
      </c>
      <c r="J10">
        <f t="shared" si="2"/>
        <v>47</v>
      </c>
      <c r="K10">
        <f t="shared" si="3"/>
        <v>47</v>
      </c>
      <c r="R10">
        <f t="shared" si="4"/>
        <v>96.5</v>
      </c>
      <c r="S10">
        <f t="shared" si="5"/>
        <v>96.5</v>
      </c>
      <c r="V10">
        <f t="shared" si="6"/>
        <v>4.295763546000031E-4</v>
      </c>
    </row>
    <row r="11" spans="1:22" x14ac:dyDescent="0.35">
      <c r="A11" t="s">
        <v>11</v>
      </c>
      <c r="B11">
        <v>-1.1653573429999999</v>
      </c>
      <c r="C11">
        <v>1.380588979E-4</v>
      </c>
      <c r="D11">
        <v>-2.3935</v>
      </c>
      <c r="E11" s="1">
        <v>-7.4291700000000006E-5</v>
      </c>
      <c r="F11" t="s">
        <v>101</v>
      </c>
      <c r="G11">
        <f t="shared" si="0"/>
        <v>-1.1654954018979</v>
      </c>
      <c r="H11">
        <f t="shared" si="1"/>
        <v>1.3805889790008408E-4</v>
      </c>
      <c r="I11">
        <f t="shared" si="7"/>
        <v>1.3805889790008408E-4</v>
      </c>
      <c r="J11">
        <f t="shared" si="2"/>
        <v>17</v>
      </c>
      <c r="K11">
        <f t="shared" si="3"/>
        <v>17</v>
      </c>
      <c r="R11">
        <f t="shared" si="4"/>
        <v>35</v>
      </c>
      <c r="S11">
        <f t="shared" si="5"/>
        <v>35</v>
      </c>
      <c r="V11">
        <f t="shared" si="6"/>
        <v>1.3805889790008408E-4</v>
      </c>
    </row>
    <row r="12" spans="1:22" x14ac:dyDescent="0.35">
      <c r="A12" t="s">
        <v>12</v>
      </c>
      <c r="B12">
        <v>-0.78563518799999998</v>
      </c>
      <c r="C12">
        <v>3.4392542899999999E-4</v>
      </c>
      <c r="D12">
        <v>-0.75056800000000001</v>
      </c>
      <c r="E12">
        <v>4.5775699999999999E-4</v>
      </c>
      <c r="F12" t="s">
        <v>101</v>
      </c>
      <c r="G12">
        <f t="shared" si="0"/>
        <v>-0.78597911342899995</v>
      </c>
      <c r="H12">
        <f t="shared" si="1"/>
        <v>3.4392542899996936E-4</v>
      </c>
      <c r="I12">
        <f t="shared" si="7"/>
        <v>3.4392542899996936E-4</v>
      </c>
      <c r="J12">
        <f t="shared" si="2"/>
        <v>36</v>
      </c>
      <c r="K12">
        <f t="shared" si="3"/>
        <v>36</v>
      </c>
      <c r="R12">
        <f t="shared" si="4"/>
        <v>78</v>
      </c>
      <c r="S12">
        <f t="shared" si="5"/>
        <v>78</v>
      </c>
      <c r="V12">
        <f t="shared" si="6"/>
        <v>3.4392542899996936E-4</v>
      </c>
    </row>
    <row r="13" spans="1:22" x14ac:dyDescent="0.35">
      <c r="A13" t="s">
        <v>13</v>
      </c>
      <c r="B13">
        <v>-0.75020432000000004</v>
      </c>
      <c r="C13">
        <v>2.6129981000000001E-4</v>
      </c>
      <c r="D13">
        <v>-1.19702</v>
      </c>
      <c r="E13">
        <v>5.21766E-4</v>
      </c>
      <c r="F13" t="s">
        <v>101</v>
      </c>
      <c r="G13">
        <f t="shared" si="0"/>
        <v>-0.75046561981000004</v>
      </c>
      <c r="H13">
        <f t="shared" si="1"/>
        <v>2.6129981000000413E-4</v>
      </c>
      <c r="I13">
        <f t="shared" si="7"/>
        <v>2.6129981000000413E-4</v>
      </c>
      <c r="J13">
        <f t="shared" si="2"/>
        <v>32</v>
      </c>
      <c r="K13">
        <f t="shared" si="3"/>
        <v>32</v>
      </c>
      <c r="R13">
        <f t="shared" si="4"/>
        <v>65.5</v>
      </c>
      <c r="S13">
        <f t="shared" si="5"/>
        <v>65.5</v>
      </c>
      <c r="V13">
        <f t="shared" si="6"/>
        <v>2.6129981000000413E-4</v>
      </c>
    </row>
    <row r="14" spans="1:22" x14ac:dyDescent="0.35">
      <c r="A14" t="s">
        <v>14</v>
      </c>
      <c r="B14">
        <v>-8.45538019999999E-2</v>
      </c>
      <c r="C14">
        <v>-2.6675130089999998E-3</v>
      </c>
      <c r="D14">
        <v>0.66263799999999995</v>
      </c>
      <c r="E14">
        <v>-5.0216699999999998E-3</v>
      </c>
      <c r="F14" t="s">
        <v>101</v>
      </c>
      <c r="G14">
        <f t="shared" si="0"/>
        <v>-8.1886288990999895E-2</v>
      </c>
      <c r="H14">
        <f t="shared" si="1"/>
        <v>-2.6675130090000054E-3</v>
      </c>
      <c r="I14">
        <f t="shared" si="7"/>
        <v>2.6675130090000054E-3</v>
      </c>
      <c r="J14">
        <f t="shared" si="2"/>
        <v>70</v>
      </c>
      <c r="K14">
        <f t="shared" si="3"/>
        <v>-70</v>
      </c>
      <c r="R14">
        <f t="shared" si="4"/>
        <v>133</v>
      </c>
      <c r="S14">
        <f t="shared" si="5"/>
        <v>-133</v>
      </c>
      <c r="V14">
        <f t="shared" si="6"/>
        <v>2.6675130090000054E-3</v>
      </c>
    </row>
    <row r="15" spans="1:22" x14ac:dyDescent="0.35">
      <c r="A15" t="s">
        <v>15</v>
      </c>
      <c r="B15">
        <v>-0.36091865899999998</v>
      </c>
      <c r="C15">
        <v>-2.951920373E-3</v>
      </c>
      <c r="D15">
        <v>-0.314749</v>
      </c>
      <c r="E15">
        <v>-5.41334E-3</v>
      </c>
      <c r="F15" t="s">
        <v>101</v>
      </c>
      <c r="G15">
        <f t="shared" si="0"/>
        <v>-0.35796673862699996</v>
      </c>
      <c r="H15">
        <f t="shared" si="1"/>
        <v>-2.9519203730000165E-3</v>
      </c>
      <c r="I15">
        <f t="shared" si="7"/>
        <v>2.9519203730000165E-3</v>
      </c>
      <c r="J15">
        <f t="shared" si="2"/>
        <v>74</v>
      </c>
      <c r="K15">
        <f t="shared" si="3"/>
        <v>-74</v>
      </c>
      <c r="R15">
        <f t="shared" si="4"/>
        <v>139</v>
      </c>
      <c r="S15">
        <f t="shared" si="5"/>
        <v>-139</v>
      </c>
      <c r="V15">
        <f t="shared" si="6"/>
        <v>2.9519203730000165E-3</v>
      </c>
    </row>
    <row r="16" spans="1:22" x14ac:dyDescent="0.35">
      <c r="A16" t="s">
        <v>16</v>
      </c>
      <c r="B16">
        <v>0.56786262099999996</v>
      </c>
      <c r="C16">
        <v>7.4828704399999997E-4</v>
      </c>
      <c r="D16">
        <v>0.65972600000000003</v>
      </c>
      <c r="E16">
        <v>7.6838999999999998E-4</v>
      </c>
      <c r="F16" t="s">
        <v>101</v>
      </c>
      <c r="G16">
        <f t="shared" si="0"/>
        <v>0.56711433395599997</v>
      </c>
      <c r="H16">
        <f t="shared" si="1"/>
        <v>7.4828704399998447E-4</v>
      </c>
      <c r="I16">
        <f t="shared" si="7"/>
        <v>7.4828704399998447E-4</v>
      </c>
      <c r="J16">
        <f t="shared" si="2"/>
        <v>64</v>
      </c>
      <c r="K16">
        <f t="shared" si="3"/>
        <v>64</v>
      </c>
      <c r="R16">
        <f t="shared" si="4"/>
        <v>125</v>
      </c>
      <c r="S16">
        <f t="shared" si="5"/>
        <v>125</v>
      </c>
      <c r="V16">
        <f t="shared" si="6"/>
        <v>7.4828704399998447E-4</v>
      </c>
    </row>
    <row r="17" spans="1:22" x14ac:dyDescent="0.35">
      <c r="A17" t="s">
        <v>17</v>
      </c>
      <c r="B17">
        <v>0.73567956800000001</v>
      </c>
      <c r="C17">
        <v>6.3952764999999998E-4</v>
      </c>
      <c r="D17">
        <v>1.26529</v>
      </c>
      <c r="E17">
        <v>9.8232799999999998E-4</v>
      </c>
      <c r="F17" t="s">
        <v>101</v>
      </c>
      <c r="G17">
        <f t="shared" si="0"/>
        <v>0.73504004035000003</v>
      </c>
      <c r="H17">
        <f t="shared" si="1"/>
        <v>6.3952764999997136E-4</v>
      </c>
      <c r="I17">
        <f t="shared" si="7"/>
        <v>6.3952764999997136E-4</v>
      </c>
      <c r="J17">
        <f t="shared" si="2"/>
        <v>60</v>
      </c>
      <c r="K17">
        <f t="shared" si="3"/>
        <v>60</v>
      </c>
      <c r="R17">
        <f t="shared" si="4"/>
        <v>119.5</v>
      </c>
      <c r="S17">
        <f t="shared" si="5"/>
        <v>119.5</v>
      </c>
      <c r="V17">
        <f t="shared" si="6"/>
        <v>6.3952764999997136E-4</v>
      </c>
    </row>
    <row r="18" spans="1:22" x14ac:dyDescent="0.35">
      <c r="A18" t="s">
        <v>18</v>
      </c>
      <c r="B18">
        <v>-0.14131096100000001</v>
      </c>
      <c r="C18">
        <v>3.51034342E-4</v>
      </c>
      <c r="D18">
        <v>0.38619900000000001</v>
      </c>
      <c r="E18">
        <v>5.1428699999999999E-4</v>
      </c>
      <c r="F18" t="s">
        <v>101</v>
      </c>
      <c r="G18">
        <f t="shared" si="0"/>
        <v>-0.14166199534200002</v>
      </c>
      <c r="H18">
        <f t="shared" si="1"/>
        <v>3.5103434200001171E-4</v>
      </c>
      <c r="I18">
        <f t="shared" si="7"/>
        <v>3.5103434200001171E-4</v>
      </c>
      <c r="J18">
        <f t="shared" si="2"/>
        <v>40.5</v>
      </c>
      <c r="K18">
        <f t="shared" si="3"/>
        <v>40.5</v>
      </c>
      <c r="R18">
        <f t="shared" si="4"/>
        <v>83.5</v>
      </c>
      <c r="S18">
        <f t="shared" si="5"/>
        <v>83.5</v>
      </c>
      <c r="V18">
        <f t="shared" si="6"/>
        <v>3.5103434200001171E-4</v>
      </c>
    </row>
    <row r="19" spans="1:22" x14ac:dyDescent="0.35">
      <c r="A19" t="s">
        <v>19</v>
      </c>
      <c r="B19">
        <v>0.25572729049999998</v>
      </c>
      <c r="C19">
        <v>4.1055093699999997E-4</v>
      </c>
      <c r="D19">
        <v>0.63569100000000001</v>
      </c>
      <c r="E19">
        <v>5.8036999999999997E-4</v>
      </c>
      <c r="F19" t="s">
        <v>101</v>
      </c>
      <c r="G19">
        <f t="shared" si="0"/>
        <v>0.25531673956299999</v>
      </c>
      <c r="H19">
        <f t="shared" si="1"/>
        <v>4.1055093699998713E-4</v>
      </c>
      <c r="I19">
        <f t="shared" si="7"/>
        <v>4.1055093699998713E-4</v>
      </c>
      <c r="J19">
        <f t="shared" si="2"/>
        <v>43</v>
      </c>
      <c r="K19">
        <f t="shared" si="3"/>
        <v>43</v>
      </c>
      <c r="R19">
        <f t="shared" si="4"/>
        <v>89</v>
      </c>
      <c r="S19">
        <f t="shared" si="5"/>
        <v>89</v>
      </c>
      <c r="V19">
        <f t="shared" si="6"/>
        <v>4.1055093699998713E-4</v>
      </c>
    </row>
    <row r="20" spans="1:22" x14ac:dyDescent="0.35">
      <c r="A20" t="s">
        <v>20</v>
      </c>
      <c r="B20">
        <v>0.191139691</v>
      </c>
      <c r="C20" s="1">
        <v>-1.4217369000000001E-5</v>
      </c>
      <c r="D20">
        <v>0.85198099999999999</v>
      </c>
      <c r="E20">
        <v>-1.13059E-4</v>
      </c>
      <c r="F20" t="s">
        <v>101</v>
      </c>
      <c r="G20">
        <f t="shared" si="0"/>
        <v>0.19115390836900001</v>
      </c>
      <c r="H20">
        <f t="shared" si="1"/>
        <v>-1.4217369000008029E-5</v>
      </c>
      <c r="I20">
        <f t="shared" si="7"/>
        <v>1.4217369000008029E-5</v>
      </c>
      <c r="J20">
        <f t="shared" si="2"/>
        <v>1</v>
      </c>
      <c r="K20">
        <f t="shared" si="3"/>
        <v>-1</v>
      </c>
      <c r="R20">
        <f t="shared" si="4"/>
        <v>2</v>
      </c>
      <c r="S20">
        <f t="shared" si="5"/>
        <v>-2</v>
      </c>
      <c r="V20">
        <f t="shared" si="6"/>
        <v>1.4217369000008029E-5</v>
      </c>
    </row>
    <row r="21" spans="1:22" x14ac:dyDescent="0.35">
      <c r="A21" t="s">
        <v>21</v>
      </c>
      <c r="B21">
        <v>-0.24512643099999901</v>
      </c>
      <c r="C21">
        <v>4.3484293459999999E-4</v>
      </c>
      <c r="D21">
        <v>0.81539899999999998</v>
      </c>
      <c r="E21">
        <v>9.3400600000000003E-4</v>
      </c>
      <c r="F21" t="s">
        <v>101</v>
      </c>
      <c r="G21">
        <f t="shared" si="0"/>
        <v>-0.24556127393459901</v>
      </c>
      <c r="H21">
        <f t="shared" si="1"/>
        <v>4.3484293459999934E-4</v>
      </c>
      <c r="I21">
        <f t="shared" si="7"/>
        <v>4.3484293459999934E-4</v>
      </c>
      <c r="J21">
        <f t="shared" si="2"/>
        <v>48.5</v>
      </c>
      <c r="K21">
        <f t="shared" si="3"/>
        <v>48.5</v>
      </c>
      <c r="R21">
        <f t="shared" si="4"/>
        <v>98.5</v>
      </c>
      <c r="S21">
        <f t="shared" si="5"/>
        <v>98.5</v>
      </c>
      <c r="V21">
        <f t="shared" si="6"/>
        <v>4.3484293459999934E-4</v>
      </c>
    </row>
    <row r="22" spans="1:22" x14ac:dyDescent="0.35">
      <c r="A22" t="s">
        <v>22</v>
      </c>
      <c r="B22">
        <v>0.22561674900000001</v>
      </c>
      <c r="C22">
        <v>-2.9276317414E-3</v>
      </c>
      <c r="D22">
        <v>0.69172699999999998</v>
      </c>
      <c r="E22">
        <v>-5.0597100000000002E-3</v>
      </c>
      <c r="F22" t="s">
        <v>101</v>
      </c>
      <c r="G22">
        <f t="shared" si="0"/>
        <v>0.22854438074140002</v>
      </c>
      <c r="H22">
        <f t="shared" si="1"/>
        <v>-2.9276317414000108E-3</v>
      </c>
      <c r="I22">
        <f t="shared" si="7"/>
        <v>2.9276317414000108E-3</v>
      </c>
      <c r="J22">
        <f t="shared" si="2"/>
        <v>73</v>
      </c>
      <c r="K22">
        <f t="shared" si="3"/>
        <v>-73</v>
      </c>
      <c r="R22">
        <f t="shared" si="4"/>
        <v>138</v>
      </c>
      <c r="S22">
        <f t="shared" si="5"/>
        <v>-138</v>
      </c>
      <c r="V22">
        <f t="shared" si="6"/>
        <v>2.9276317414000108E-3</v>
      </c>
    </row>
    <row r="23" spans="1:22" x14ac:dyDescent="0.35">
      <c r="A23" t="s">
        <v>23</v>
      </c>
      <c r="B23">
        <v>4.8457059199999902E-2</v>
      </c>
      <c r="C23">
        <v>3.2490023199999998E-4</v>
      </c>
      <c r="D23">
        <v>0.34561700000000001</v>
      </c>
      <c r="E23">
        <v>6.6421600000000003E-4</v>
      </c>
      <c r="F23" t="s">
        <v>101</v>
      </c>
      <c r="G23">
        <f t="shared" si="0"/>
        <v>4.8132158967999904E-2</v>
      </c>
      <c r="H23">
        <f t="shared" si="1"/>
        <v>3.2490023199999857E-4</v>
      </c>
      <c r="I23">
        <f t="shared" si="7"/>
        <v>3.2490023199999857E-4</v>
      </c>
      <c r="J23">
        <f t="shared" si="2"/>
        <v>35</v>
      </c>
      <c r="K23">
        <f t="shared" si="3"/>
        <v>35</v>
      </c>
      <c r="R23">
        <f t="shared" si="4"/>
        <v>76</v>
      </c>
      <c r="S23">
        <f t="shared" si="5"/>
        <v>76</v>
      </c>
      <c r="V23">
        <f t="shared" si="6"/>
        <v>3.2490023199999857E-4</v>
      </c>
    </row>
    <row r="24" spans="1:22" x14ac:dyDescent="0.35">
      <c r="A24" t="s">
        <v>24</v>
      </c>
      <c r="B24">
        <v>-6.5252718999999904E-2</v>
      </c>
      <c r="C24">
        <v>-3.017365806E-3</v>
      </c>
      <c r="D24">
        <v>-0.223027</v>
      </c>
      <c r="E24">
        <v>-5.0522299999999996E-3</v>
      </c>
      <c r="F24" t="s">
        <v>101</v>
      </c>
      <c r="G24">
        <f t="shared" si="0"/>
        <v>-6.2235353193999907E-2</v>
      </c>
      <c r="H24">
        <f t="shared" si="1"/>
        <v>-3.0173658059999969E-3</v>
      </c>
      <c r="I24">
        <f t="shared" si="7"/>
        <v>3.0173658059999969E-3</v>
      </c>
      <c r="J24">
        <f t="shared" si="2"/>
        <v>76</v>
      </c>
      <c r="K24">
        <f t="shared" si="3"/>
        <v>-76</v>
      </c>
      <c r="R24">
        <f t="shared" si="4"/>
        <v>143</v>
      </c>
      <c r="S24">
        <f t="shared" si="5"/>
        <v>-143</v>
      </c>
      <c r="V24">
        <f t="shared" si="6"/>
        <v>3.0173658059999969E-3</v>
      </c>
    </row>
    <row r="25" spans="1:22" x14ac:dyDescent="0.35">
      <c r="A25" t="s">
        <v>25</v>
      </c>
      <c r="B25">
        <v>-0.81710159429999996</v>
      </c>
      <c r="C25">
        <v>-3.1637185830000001E-3</v>
      </c>
      <c r="D25">
        <v>-9.0946299999999994E-2</v>
      </c>
      <c r="E25">
        <v>-5.5182E-3</v>
      </c>
      <c r="F25" t="s">
        <v>101</v>
      </c>
      <c r="G25">
        <f t="shared" si="0"/>
        <v>-0.81393787571699994</v>
      </c>
      <c r="H25">
        <f t="shared" si="1"/>
        <v>-3.1637185830000192E-3</v>
      </c>
      <c r="I25">
        <f t="shared" si="7"/>
        <v>3.1637185830000192E-3</v>
      </c>
      <c r="J25">
        <f t="shared" si="2"/>
        <v>84</v>
      </c>
      <c r="K25">
        <f t="shared" si="3"/>
        <v>-84</v>
      </c>
      <c r="R25">
        <f t="shared" si="4"/>
        <v>154</v>
      </c>
      <c r="S25">
        <f t="shared" si="5"/>
        <v>-154</v>
      </c>
      <c r="V25">
        <f t="shared" si="6"/>
        <v>3.1637185830000192E-3</v>
      </c>
    </row>
    <row r="26" spans="1:22" x14ac:dyDescent="0.35">
      <c r="A26" t="s">
        <v>26</v>
      </c>
      <c r="B26">
        <v>0.22341644199999999</v>
      </c>
      <c r="C26">
        <v>-3.5795336299999998E-3</v>
      </c>
      <c r="D26">
        <v>1.0051300000000001</v>
      </c>
      <c r="E26">
        <v>-6.6586600000000003E-3</v>
      </c>
      <c r="F26" t="s">
        <v>101</v>
      </c>
      <c r="G26">
        <f t="shared" si="0"/>
        <v>0.22699597562999999</v>
      </c>
      <c r="H26">
        <f t="shared" si="1"/>
        <v>-3.5795336299999925E-3</v>
      </c>
      <c r="I26">
        <f t="shared" si="7"/>
        <v>3.5795336299999925E-3</v>
      </c>
      <c r="J26">
        <f t="shared" si="2"/>
        <v>93</v>
      </c>
      <c r="K26">
        <f t="shared" si="3"/>
        <v>-93</v>
      </c>
      <c r="R26">
        <f t="shared" si="4"/>
        <v>175</v>
      </c>
      <c r="S26">
        <f t="shared" si="5"/>
        <v>-175</v>
      </c>
      <c r="V26">
        <f t="shared" si="6"/>
        <v>3.5795336299999925E-3</v>
      </c>
    </row>
    <row r="27" spans="1:22" x14ac:dyDescent="0.35">
      <c r="A27" t="s">
        <v>27</v>
      </c>
      <c r="B27">
        <v>-0.37839668799999998</v>
      </c>
      <c r="C27" s="1">
        <v>-8.9735386140000001E-5</v>
      </c>
      <c r="D27">
        <v>-0.42771999999999999</v>
      </c>
      <c r="E27" s="1">
        <v>7.4782599999999998E-6</v>
      </c>
      <c r="F27" t="s">
        <v>101</v>
      </c>
      <c r="G27">
        <f t="shared" si="0"/>
        <v>-0.37830695261385999</v>
      </c>
      <c r="H27">
        <f t="shared" si="1"/>
        <v>-8.9735386139988549E-5</v>
      </c>
      <c r="I27">
        <f t="shared" si="7"/>
        <v>8.9735386139988549E-5</v>
      </c>
      <c r="J27">
        <f t="shared" si="2"/>
        <v>11.5</v>
      </c>
      <c r="K27">
        <f t="shared" si="3"/>
        <v>-11.5</v>
      </c>
      <c r="R27">
        <f t="shared" si="4"/>
        <v>21.5</v>
      </c>
      <c r="S27">
        <f t="shared" si="5"/>
        <v>-21.5</v>
      </c>
      <c r="V27">
        <f t="shared" si="6"/>
        <v>8.9735386139988549E-5</v>
      </c>
    </row>
    <row r="28" spans="1:22" x14ac:dyDescent="0.35">
      <c r="A28" t="s">
        <v>28</v>
      </c>
      <c r="B28">
        <v>0.12216432100000001</v>
      </c>
      <c r="C28">
        <v>5.5690371400000005E-4</v>
      </c>
      <c r="D28">
        <v>-0.27843099999999998</v>
      </c>
      <c r="E28">
        <v>1.04634E-3</v>
      </c>
      <c r="F28" t="s">
        <v>101</v>
      </c>
      <c r="G28">
        <f t="shared" si="0"/>
        <v>0.12160741728600001</v>
      </c>
      <c r="H28">
        <f t="shared" si="1"/>
        <v>5.569037139999955E-4</v>
      </c>
      <c r="I28">
        <f t="shared" si="7"/>
        <v>5.569037139999955E-4</v>
      </c>
      <c r="J28">
        <f t="shared" si="2"/>
        <v>56</v>
      </c>
      <c r="K28">
        <f t="shared" si="3"/>
        <v>56</v>
      </c>
      <c r="R28">
        <f t="shared" si="4"/>
        <v>110</v>
      </c>
      <c r="S28">
        <f t="shared" si="5"/>
        <v>110</v>
      </c>
      <c r="V28">
        <f t="shared" si="6"/>
        <v>5.569037139999955E-4</v>
      </c>
    </row>
    <row r="29" spans="1:22" x14ac:dyDescent="0.35">
      <c r="A29" t="s">
        <v>29</v>
      </c>
      <c r="B29">
        <v>-1.5214546099999999</v>
      </c>
      <c r="C29" s="1">
        <v>7.8541584000000003E-5</v>
      </c>
      <c r="D29">
        <v>-2.5375800000000002</v>
      </c>
      <c r="E29">
        <v>-1.40376E-4</v>
      </c>
      <c r="F29" t="s">
        <v>101</v>
      </c>
      <c r="G29">
        <f t="shared" si="0"/>
        <v>-1.5215331515839998</v>
      </c>
      <c r="H29">
        <f t="shared" si="1"/>
        <v>7.8541583999891529E-5</v>
      </c>
      <c r="I29">
        <f t="shared" si="7"/>
        <v>7.8541583999891529E-5</v>
      </c>
      <c r="J29">
        <f t="shared" si="2"/>
        <v>10</v>
      </c>
      <c r="K29">
        <f t="shared" si="3"/>
        <v>10</v>
      </c>
      <c r="R29">
        <f t="shared" si="4"/>
        <v>18</v>
      </c>
      <c r="S29">
        <f t="shared" si="5"/>
        <v>18</v>
      </c>
      <c r="V29">
        <f t="shared" si="6"/>
        <v>7.8541583999891529E-5</v>
      </c>
    </row>
    <row r="30" spans="1:22" x14ac:dyDescent="0.35">
      <c r="A30" t="s">
        <v>30</v>
      </c>
      <c r="B30">
        <v>-0.13064404399999999</v>
      </c>
      <c r="C30">
        <v>1.451674286E-4</v>
      </c>
      <c r="D30">
        <v>-0.454295</v>
      </c>
      <c r="E30" s="1">
        <v>-1.7762400000000001E-5</v>
      </c>
      <c r="F30" t="s">
        <v>101</v>
      </c>
      <c r="G30">
        <f t="shared" si="0"/>
        <v>-0.13078921142859998</v>
      </c>
      <c r="H30">
        <f t="shared" si="1"/>
        <v>1.4516742859999043E-4</v>
      </c>
      <c r="I30">
        <f t="shared" si="7"/>
        <v>1.4516742859999043E-4</v>
      </c>
      <c r="J30">
        <f t="shared" si="2"/>
        <v>20.5</v>
      </c>
      <c r="K30">
        <f t="shared" si="3"/>
        <v>20.5</v>
      </c>
      <c r="R30">
        <f t="shared" si="4"/>
        <v>41</v>
      </c>
      <c r="S30">
        <f t="shared" si="5"/>
        <v>41</v>
      </c>
      <c r="V30">
        <f t="shared" si="6"/>
        <v>1.4516742859999043E-4</v>
      </c>
    </row>
    <row r="31" spans="1:22" x14ac:dyDescent="0.35">
      <c r="A31" t="s">
        <v>31</v>
      </c>
      <c r="B31">
        <v>-0.33733827299999902</v>
      </c>
      <c r="C31">
        <v>2.6011692840000001E-4</v>
      </c>
      <c r="D31">
        <v>-0.40954400000000002</v>
      </c>
      <c r="E31" s="1">
        <v>3.8037400000000003E-5</v>
      </c>
      <c r="F31" t="s">
        <v>101</v>
      </c>
      <c r="G31">
        <f t="shared" si="0"/>
        <v>-0.33759838992839902</v>
      </c>
      <c r="H31">
        <f t="shared" si="1"/>
        <v>2.6011692840000045E-4</v>
      </c>
      <c r="I31">
        <f t="shared" si="7"/>
        <v>2.6011692840000045E-4</v>
      </c>
      <c r="J31">
        <f t="shared" si="2"/>
        <v>31</v>
      </c>
      <c r="K31">
        <f t="shared" si="3"/>
        <v>31</v>
      </c>
      <c r="R31">
        <f t="shared" si="4"/>
        <v>64</v>
      </c>
      <c r="S31">
        <f t="shared" si="5"/>
        <v>64</v>
      </c>
      <c r="V31">
        <f t="shared" si="6"/>
        <v>2.6011692840000045E-4</v>
      </c>
    </row>
    <row r="32" spans="1:22" x14ac:dyDescent="0.35">
      <c r="A32" t="s">
        <v>32</v>
      </c>
      <c r="B32">
        <v>0.27891535299999998</v>
      </c>
      <c r="C32">
        <v>5.5690371400000005E-4</v>
      </c>
      <c r="D32">
        <v>0.48756500000000003</v>
      </c>
      <c r="E32">
        <v>1.04634E-3</v>
      </c>
      <c r="F32" t="s">
        <v>101</v>
      </c>
      <c r="G32">
        <f t="shared" si="0"/>
        <v>0.27835844928599995</v>
      </c>
      <c r="H32">
        <f t="shared" si="1"/>
        <v>5.5690371400002325E-4</v>
      </c>
      <c r="I32">
        <f t="shared" si="7"/>
        <v>5.5690371400002325E-4</v>
      </c>
      <c r="J32">
        <f t="shared" si="2"/>
        <v>57</v>
      </c>
      <c r="K32">
        <f t="shared" si="3"/>
        <v>57</v>
      </c>
      <c r="R32">
        <f t="shared" si="4"/>
        <v>112.5</v>
      </c>
      <c r="S32">
        <f t="shared" si="5"/>
        <v>112.5</v>
      </c>
      <c r="V32">
        <f t="shared" si="6"/>
        <v>5.5690371400002325E-4</v>
      </c>
    </row>
    <row r="33" spans="1:22" x14ac:dyDescent="0.35">
      <c r="A33" t="s">
        <v>33</v>
      </c>
      <c r="B33">
        <v>1.1391881399999999</v>
      </c>
      <c r="C33">
        <v>8.6850669020000003E-4</v>
      </c>
      <c r="D33">
        <v>2.0986600000000002</v>
      </c>
      <c r="E33">
        <v>1.38429E-3</v>
      </c>
      <c r="F33" t="s">
        <v>101</v>
      </c>
      <c r="G33">
        <f t="shared" si="0"/>
        <v>1.1383196333097998</v>
      </c>
      <c r="H33">
        <f t="shared" si="1"/>
        <v>8.685066902001104E-4</v>
      </c>
      <c r="I33">
        <f t="shared" si="7"/>
        <v>8.685066902001104E-4</v>
      </c>
      <c r="J33">
        <f t="shared" si="2"/>
        <v>66</v>
      </c>
      <c r="K33">
        <f t="shared" si="3"/>
        <v>66</v>
      </c>
      <c r="R33">
        <f t="shared" si="4"/>
        <v>128</v>
      </c>
      <c r="S33">
        <f t="shared" si="5"/>
        <v>128</v>
      </c>
      <c r="V33">
        <f t="shared" si="6"/>
        <v>8.685066902001104E-4</v>
      </c>
    </row>
    <row r="34" spans="1:22" x14ac:dyDescent="0.35">
      <c r="A34" t="s">
        <v>34</v>
      </c>
      <c r="B34">
        <v>-2.4318729480000001</v>
      </c>
      <c r="C34">
        <v>6.1523587299999998E-4</v>
      </c>
      <c r="D34">
        <v>-2.7684199999999999</v>
      </c>
      <c r="E34">
        <v>6.2869200000000003E-4</v>
      </c>
      <c r="F34" t="s">
        <v>101</v>
      </c>
      <c r="G34">
        <f t="shared" si="0"/>
        <v>-2.4324881838730001</v>
      </c>
      <c r="H34">
        <f t="shared" si="1"/>
        <v>6.1523587300005289E-4</v>
      </c>
      <c r="I34">
        <f t="shared" si="7"/>
        <v>6.1523587300005289E-4</v>
      </c>
      <c r="J34">
        <f t="shared" si="2"/>
        <v>59</v>
      </c>
      <c r="K34">
        <f t="shared" si="3"/>
        <v>59</v>
      </c>
      <c r="R34">
        <f t="shared" si="4"/>
        <v>116</v>
      </c>
      <c r="S34">
        <f t="shared" si="5"/>
        <v>116</v>
      </c>
      <c r="V34">
        <f t="shared" si="6"/>
        <v>6.1523587300005289E-4</v>
      </c>
    </row>
    <row r="35" spans="1:22" x14ac:dyDescent="0.35">
      <c r="A35" t="s">
        <v>35</v>
      </c>
      <c r="B35">
        <v>0.39264954549999997</v>
      </c>
      <c r="C35">
        <v>1.9875833700000001E-4</v>
      </c>
      <c r="D35">
        <v>0.93888000000000005</v>
      </c>
      <c r="E35">
        <v>4.7552E-4</v>
      </c>
      <c r="F35" t="s">
        <v>101</v>
      </c>
      <c r="G35">
        <f t="shared" si="0"/>
        <v>0.39245078716299997</v>
      </c>
      <c r="H35">
        <f t="shared" si="1"/>
        <v>1.9875833700000456E-4</v>
      </c>
      <c r="I35">
        <f t="shared" si="7"/>
        <v>1.9875833700000456E-4</v>
      </c>
      <c r="J35">
        <f t="shared" si="2"/>
        <v>26.5</v>
      </c>
      <c r="K35">
        <f t="shared" si="3"/>
        <v>26.5</v>
      </c>
      <c r="R35">
        <f t="shared" si="4"/>
        <v>51.5</v>
      </c>
      <c r="S35">
        <f t="shared" si="5"/>
        <v>51.5</v>
      </c>
      <c r="V35">
        <f t="shared" si="6"/>
        <v>1.9875833700000456E-4</v>
      </c>
    </row>
    <row r="36" spans="1:22" x14ac:dyDescent="0.35">
      <c r="A36" t="s">
        <v>36</v>
      </c>
      <c r="B36">
        <v>-0.244033529</v>
      </c>
      <c r="C36">
        <v>-3.3748496184000001E-3</v>
      </c>
      <c r="D36">
        <v>-0.19983699999999999</v>
      </c>
      <c r="E36">
        <v>-6.6103400000000001E-3</v>
      </c>
      <c r="F36" t="s">
        <v>101</v>
      </c>
      <c r="G36">
        <f t="shared" si="0"/>
        <v>-0.24065867938159999</v>
      </c>
      <c r="H36">
        <f t="shared" si="1"/>
        <v>-3.374849618400011E-3</v>
      </c>
      <c r="I36">
        <f t="shared" si="7"/>
        <v>3.374849618400011E-3</v>
      </c>
      <c r="J36">
        <f t="shared" si="2"/>
        <v>90</v>
      </c>
      <c r="K36">
        <f t="shared" si="3"/>
        <v>-90</v>
      </c>
      <c r="R36">
        <f t="shared" si="4"/>
        <v>164</v>
      </c>
      <c r="S36">
        <f t="shared" si="5"/>
        <v>-164</v>
      </c>
      <c r="V36">
        <f t="shared" si="6"/>
        <v>3.374849618400011E-3</v>
      </c>
    </row>
    <row r="37" spans="1:22" x14ac:dyDescent="0.35">
      <c r="A37" t="s">
        <v>37</v>
      </c>
      <c r="B37">
        <v>-0.68434961660000004</v>
      </c>
      <c r="C37">
        <v>4.1055093699999997E-4</v>
      </c>
      <c r="D37">
        <v>-0.47867500000000002</v>
      </c>
      <c r="E37">
        <v>5.8036999999999997E-4</v>
      </c>
      <c r="F37" t="s">
        <v>101</v>
      </c>
      <c r="G37">
        <f t="shared" si="0"/>
        <v>-0.68476016753700009</v>
      </c>
      <c r="H37">
        <f t="shared" si="1"/>
        <v>4.1055093700004264E-4</v>
      </c>
      <c r="I37">
        <f t="shared" si="7"/>
        <v>4.1055093700004264E-4</v>
      </c>
      <c r="J37">
        <f t="shared" si="2"/>
        <v>44.5</v>
      </c>
      <c r="K37">
        <f t="shared" si="3"/>
        <v>44.5</v>
      </c>
      <c r="R37">
        <f t="shared" si="4"/>
        <v>91</v>
      </c>
      <c r="S37">
        <f t="shared" si="5"/>
        <v>91</v>
      </c>
      <c r="V37">
        <f t="shared" si="6"/>
        <v>4.1055093700004264E-4</v>
      </c>
    </row>
    <row r="38" spans="1:22" x14ac:dyDescent="0.35">
      <c r="A38" t="s">
        <v>38</v>
      </c>
      <c r="B38">
        <v>0.98367702599999995</v>
      </c>
      <c r="C38">
        <v>1.451674286E-4</v>
      </c>
      <c r="D38">
        <v>1.44702</v>
      </c>
      <c r="E38" s="1">
        <v>-1.7762400000000001E-5</v>
      </c>
      <c r="F38" t="s">
        <v>101</v>
      </c>
      <c r="G38">
        <f t="shared" si="0"/>
        <v>0.98353185857139991</v>
      </c>
      <c r="H38">
        <f t="shared" si="1"/>
        <v>1.4516742860004594E-4</v>
      </c>
      <c r="I38">
        <f t="shared" si="7"/>
        <v>1.4516742860004594E-4</v>
      </c>
      <c r="J38">
        <f t="shared" si="2"/>
        <v>23</v>
      </c>
      <c r="K38">
        <f t="shared" si="3"/>
        <v>23</v>
      </c>
      <c r="R38">
        <f t="shared" si="4"/>
        <v>44</v>
      </c>
      <c r="S38">
        <f t="shared" si="5"/>
        <v>44</v>
      </c>
      <c r="V38">
        <f t="shared" si="6"/>
        <v>1.4516742860004594E-4</v>
      </c>
    </row>
    <row r="39" spans="1:22" x14ac:dyDescent="0.35">
      <c r="A39" t="s">
        <v>39</v>
      </c>
      <c r="B39">
        <v>-0.94220521099999999</v>
      </c>
      <c r="C39">
        <v>-3.1387628599999998E-3</v>
      </c>
      <c r="D39">
        <v>-2.1361300000000001</v>
      </c>
      <c r="E39">
        <v>-6.1518500000000004E-3</v>
      </c>
      <c r="F39" t="s">
        <v>101</v>
      </c>
      <c r="G39">
        <f t="shared" si="0"/>
        <v>-0.93906644813999995</v>
      </c>
      <c r="H39">
        <f t="shared" si="1"/>
        <v>-3.1387628600000328E-3</v>
      </c>
      <c r="I39">
        <f t="shared" si="7"/>
        <v>3.1387628600000328E-3</v>
      </c>
      <c r="J39">
        <f t="shared" si="2"/>
        <v>82</v>
      </c>
      <c r="K39">
        <f t="shared" si="3"/>
        <v>-82</v>
      </c>
      <c r="R39">
        <f t="shared" si="4"/>
        <v>151</v>
      </c>
      <c r="S39">
        <f t="shared" si="5"/>
        <v>-151</v>
      </c>
      <c r="V39">
        <f t="shared" si="6"/>
        <v>3.1387628600000328E-3</v>
      </c>
    </row>
    <row r="40" spans="1:22" x14ac:dyDescent="0.35">
      <c r="A40" t="s">
        <v>40</v>
      </c>
      <c r="B40">
        <v>0.170857066999999</v>
      </c>
      <c r="C40">
        <v>1.451674286E-4</v>
      </c>
      <c r="D40">
        <v>-0.57706100000000005</v>
      </c>
      <c r="E40" s="1">
        <v>-1.7762400000000001E-5</v>
      </c>
      <c r="F40" t="s">
        <v>101</v>
      </c>
      <c r="G40">
        <f t="shared" si="0"/>
        <v>0.17071189957139901</v>
      </c>
      <c r="H40">
        <f t="shared" si="1"/>
        <v>1.4516742859999043E-4</v>
      </c>
      <c r="I40">
        <f t="shared" si="7"/>
        <v>1.4516742859999043E-4</v>
      </c>
      <c r="J40">
        <f t="shared" si="2"/>
        <v>20.5</v>
      </c>
      <c r="K40">
        <f t="shared" si="3"/>
        <v>20.5</v>
      </c>
      <c r="R40">
        <f t="shared" si="4"/>
        <v>41</v>
      </c>
      <c r="S40">
        <f t="shared" si="5"/>
        <v>41</v>
      </c>
      <c r="V40">
        <f t="shared" si="6"/>
        <v>1.4516742859999043E-4</v>
      </c>
    </row>
    <row r="41" spans="1:22" x14ac:dyDescent="0.35">
      <c r="A41" t="s">
        <v>41</v>
      </c>
      <c r="B41">
        <v>7.5336015399999998E-2</v>
      </c>
      <c r="C41">
        <v>-5.3168701994999997E-4</v>
      </c>
      <c r="D41">
        <v>1.4363799999999999E-2</v>
      </c>
      <c r="E41">
        <v>-9.8305700000000007E-4</v>
      </c>
      <c r="F41" t="s">
        <v>101</v>
      </c>
      <c r="G41">
        <f t="shared" si="0"/>
        <v>7.5867702419950001E-2</v>
      </c>
      <c r="H41">
        <f t="shared" si="1"/>
        <v>-5.3168701995000289E-4</v>
      </c>
      <c r="I41">
        <f t="shared" si="7"/>
        <v>5.3168701995000289E-4</v>
      </c>
      <c r="J41">
        <f t="shared" si="2"/>
        <v>55</v>
      </c>
      <c r="K41">
        <f t="shared" si="3"/>
        <v>-55</v>
      </c>
      <c r="R41">
        <f t="shared" si="4"/>
        <v>109</v>
      </c>
      <c r="S41">
        <f t="shared" si="5"/>
        <v>-109</v>
      </c>
      <c r="V41">
        <f t="shared" si="6"/>
        <v>5.3168701995000289E-4</v>
      </c>
    </row>
    <row r="42" spans="1:22" x14ac:dyDescent="0.35">
      <c r="A42" t="s">
        <v>42</v>
      </c>
      <c r="B42">
        <v>-0.68220298349999997</v>
      </c>
      <c r="C42">
        <v>-2.8733806979999998E-3</v>
      </c>
      <c r="D42">
        <v>-1.52905</v>
      </c>
      <c r="E42">
        <v>-5.5537199999999998E-3</v>
      </c>
      <c r="F42" t="s">
        <v>101</v>
      </c>
      <c r="G42">
        <f t="shared" si="0"/>
        <v>-0.67932960280199994</v>
      </c>
      <c r="H42">
        <f t="shared" si="1"/>
        <v>-2.8733806980000276E-3</v>
      </c>
      <c r="I42">
        <f t="shared" si="7"/>
        <v>2.8733806980000276E-3</v>
      </c>
      <c r="J42">
        <f t="shared" si="2"/>
        <v>71</v>
      </c>
      <c r="K42">
        <f t="shared" si="3"/>
        <v>-71</v>
      </c>
      <c r="R42">
        <f t="shared" si="4"/>
        <v>136</v>
      </c>
      <c r="S42">
        <f t="shared" si="5"/>
        <v>-136</v>
      </c>
      <c r="V42">
        <f t="shared" si="6"/>
        <v>2.8733806980000276E-3</v>
      </c>
    </row>
    <row r="43" spans="1:22" x14ac:dyDescent="0.35">
      <c r="A43" t="s">
        <v>43</v>
      </c>
      <c r="B43">
        <v>-0.44190073229999999</v>
      </c>
      <c r="C43">
        <v>-3.217302535E-3</v>
      </c>
      <c r="D43">
        <v>-8.4778300000000001E-2</v>
      </c>
      <c r="E43">
        <v>-6.0114699999999997E-3</v>
      </c>
      <c r="F43" t="s">
        <v>101</v>
      </c>
      <c r="G43">
        <f t="shared" si="0"/>
        <v>-0.43868342976499997</v>
      </c>
      <c r="H43">
        <f t="shared" si="1"/>
        <v>-3.2173025350000217E-3</v>
      </c>
      <c r="I43">
        <f t="shared" si="7"/>
        <v>3.2173025350000217E-3</v>
      </c>
      <c r="J43">
        <f t="shared" si="2"/>
        <v>86</v>
      </c>
      <c r="K43">
        <f t="shared" si="3"/>
        <v>-86</v>
      </c>
      <c r="R43">
        <f t="shared" si="4"/>
        <v>158</v>
      </c>
      <c r="S43">
        <f t="shared" si="5"/>
        <v>-158</v>
      </c>
      <c r="V43">
        <f t="shared" si="6"/>
        <v>3.2173025350000217E-3</v>
      </c>
    </row>
    <row r="44" spans="1:22" x14ac:dyDescent="0.35">
      <c r="A44" t="s">
        <v>44</v>
      </c>
      <c r="B44">
        <v>-0.53874314979999904</v>
      </c>
      <c r="C44">
        <v>-2.4083212859999999E-3</v>
      </c>
      <c r="D44">
        <v>-0.56585799999999997</v>
      </c>
      <c r="E44">
        <v>-4.6932800000000002E-3</v>
      </c>
      <c r="F44" t="s">
        <v>101</v>
      </c>
      <c r="G44">
        <f t="shared" si="0"/>
        <v>-0.53633482851399905</v>
      </c>
      <c r="H44">
        <f t="shared" si="1"/>
        <v>-2.4083212859999925E-3</v>
      </c>
      <c r="I44">
        <f t="shared" si="7"/>
        <v>2.4083212859999925E-3</v>
      </c>
      <c r="J44">
        <f t="shared" si="2"/>
        <v>68</v>
      </c>
      <c r="K44">
        <f t="shared" si="3"/>
        <v>-68</v>
      </c>
      <c r="R44">
        <f t="shared" si="4"/>
        <v>130</v>
      </c>
      <c r="S44">
        <f t="shared" si="5"/>
        <v>-130</v>
      </c>
      <c r="V44">
        <f t="shared" si="6"/>
        <v>2.4083212859999925E-3</v>
      </c>
    </row>
    <row r="45" spans="1:22" x14ac:dyDescent="0.35">
      <c r="A45" t="s">
        <v>45</v>
      </c>
      <c r="B45">
        <v>-0.36192845299999998</v>
      </c>
      <c r="C45">
        <v>3.4392542899999999E-4</v>
      </c>
      <c r="D45">
        <v>-0.94267100000000004</v>
      </c>
      <c r="E45">
        <v>4.5775699999999999E-4</v>
      </c>
      <c r="F45" t="s">
        <v>101</v>
      </c>
      <c r="G45">
        <f t="shared" si="0"/>
        <v>-0.36227237842900001</v>
      </c>
      <c r="H45">
        <f t="shared" si="1"/>
        <v>3.4392542900002487E-4</v>
      </c>
      <c r="I45">
        <f t="shared" si="7"/>
        <v>3.4392542900002487E-4</v>
      </c>
      <c r="J45">
        <f t="shared" si="2"/>
        <v>37</v>
      </c>
      <c r="K45">
        <f t="shared" si="3"/>
        <v>37</v>
      </c>
      <c r="R45">
        <f t="shared" si="4"/>
        <v>79</v>
      </c>
      <c r="S45">
        <f t="shared" si="5"/>
        <v>79</v>
      </c>
      <c r="V45">
        <f t="shared" si="6"/>
        <v>3.4392542900002487E-4</v>
      </c>
    </row>
    <row r="46" spans="1:22" x14ac:dyDescent="0.35">
      <c r="A46" t="s">
        <v>46</v>
      </c>
      <c r="B46">
        <v>-0.25452448900000002</v>
      </c>
      <c r="C46">
        <v>1.9757565736E-4</v>
      </c>
      <c r="D46">
        <v>-0.29586200000000001</v>
      </c>
      <c r="E46" s="1">
        <v>-8.2082399999999999E-6</v>
      </c>
      <c r="F46" t="s">
        <v>101</v>
      </c>
      <c r="G46">
        <f t="shared" si="0"/>
        <v>-0.25472206465736003</v>
      </c>
      <c r="H46">
        <f t="shared" si="1"/>
        <v>1.9757565736000515E-4</v>
      </c>
      <c r="I46">
        <f t="shared" si="7"/>
        <v>1.9757565736000515E-4</v>
      </c>
      <c r="J46">
        <f t="shared" si="2"/>
        <v>25</v>
      </c>
      <c r="K46">
        <f t="shared" si="3"/>
        <v>25</v>
      </c>
      <c r="R46">
        <f t="shared" si="4"/>
        <v>49</v>
      </c>
      <c r="S46">
        <f t="shared" si="5"/>
        <v>49</v>
      </c>
      <c r="V46">
        <f t="shared" si="6"/>
        <v>1.9757565736000515E-4</v>
      </c>
    </row>
    <row r="47" spans="1:22" x14ac:dyDescent="0.35">
      <c r="A47" t="s">
        <v>47</v>
      </c>
      <c r="B47">
        <v>0.454979315</v>
      </c>
      <c r="C47">
        <v>4.9027596200000004E-4</v>
      </c>
      <c r="D47">
        <v>1.7051700000000001</v>
      </c>
      <c r="E47">
        <v>9.2372299999999999E-4</v>
      </c>
      <c r="F47" t="s">
        <v>101</v>
      </c>
      <c r="G47">
        <f t="shared" si="0"/>
        <v>0.45448903903799998</v>
      </c>
      <c r="H47">
        <f t="shared" si="1"/>
        <v>4.9027596200001966E-4</v>
      </c>
      <c r="I47">
        <f t="shared" si="7"/>
        <v>4.9027596200001966E-4</v>
      </c>
      <c r="J47">
        <f t="shared" si="2"/>
        <v>53.5</v>
      </c>
      <c r="K47">
        <f t="shared" si="3"/>
        <v>53.5</v>
      </c>
      <c r="R47">
        <f t="shared" si="4"/>
        <v>104.5</v>
      </c>
      <c r="S47">
        <f t="shared" si="5"/>
        <v>104.5</v>
      </c>
      <c r="V47">
        <f t="shared" si="6"/>
        <v>4.9027596200001966E-4</v>
      </c>
    </row>
    <row r="48" spans="1:22" x14ac:dyDescent="0.35">
      <c r="A48" t="s">
        <v>48</v>
      </c>
      <c r="B48">
        <v>-0.41779011799999999</v>
      </c>
      <c r="C48">
        <v>-3.2839319699999999E-3</v>
      </c>
      <c r="D48">
        <v>-0.64141300000000001</v>
      </c>
      <c r="E48">
        <v>-6.13409E-3</v>
      </c>
      <c r="F48" t="s">
        <v>101</v>
      </c>
      <c r="G48">
        <f t="shared" si="0"/>
        <v>-0.41450618603</v>
      </c>
      <c r="H48">
        <f t="shared" si="1"/>
        <v>-3.2839319699999869E-3</v>
      </c>
      <c r="I48">
        <f t="shared" si="7"/>
        <v>3.2839319699999869E-3</v>
      </c>
      <c r="J48">
        <f t="shared" si="2"/>
        <v>87</v>
      </c>
      <c r="K48">
        <f t="shared" si="3"/>
        <v>-87</v>
      </c>
      <c r="R48">
        <f t="shared" si="4"/>
        <v>160</v>
      </c>
      <c r="S48">
        <f t="shared" si="5"/>
        <v>-160</v>
      </c>
      <c r="V48">
        <f t="shared" si="6"/>
        <v>3.2839319699999869E-3</v>
      </c>
    </row>
    <row r="49" spans="1:22" x14ac:dyDescent="0.35">
      <c r="A49" t="s">
        <v>49</v>
      </c>
      <c r="B49">
        <v>-0.96081945899999999</v>
      </c>
      <c r="C49">
        <v>4.1055093699999997E-4</v>
      </c>
      <c r="D49">
        <v>-0.372199</v>
      </c>
      <c r="E49">
        <v>5.8036999999999997E-4</v>
      </c>
      <c r="F49" t="s">
        <v>101</v>
      </c>
      <c r="G49">
        <f t="shared" si="0"/>
        <v>-0.96123000993700003</v>
      </c>
      <c r="H49">
        <f t="shared" si="1"/>
        <v>4.1055093700004264E-4</v>
      </c>
      <c r="I49">
        <f t="shared" si="7"/>
        <v>4.1055093700004264E-4</v>
      </c>
      <c r="J49">
        <f t="shared" si="2"/>
        <v>44.5</v>
      </c>
      <c r="K49">
        <f t="shared" si="3"/>
        <v>44.5</v>
      </c>
      <c r="R49">
        <f t="shared" si="4"/>
        <v>91</v>
      </c>
      <c r="S49">
        <f t="shared" si="5"/>
        <v>91</v>
      </c>
      <c r="V49">
        <f t="shared" si="6"/>
        <v>4.1055093700004264E-4</v>
      </c>
    </row>
    <row r="50" spans="1:22" x14ac:dyDescent="0.35">
      <c r="A50" t="s">
        <v>50</v>
      </c>
      <c r="B50">
        <v>0.30086880799999999</v>
      </c>
      <c r="C50">
        <v>4.3484293459999999E-4</v>
      </c>
      <c r="D50">
        <v>0.90542</v>
      </c>
      <c r="E50">
        <v>9.3400600000000003E-4</v>
      </c>
      <c r="F50" t="s">
        <v>101</v>
      </c>
      <c r="G50">
        <f t="shared" si="0"/>
        <v>0.30043396506539999</v>
      </c>
      <c r="H50">
        <f t="shared" si="1"/>
        <v>4.3484293459999934E-4</v>
      </c>
      <c r="I50">
        <f t="shared" si="7"/>
        <v>4.3484293459999934E-4</v>
      </c>
      <c r="J50">
        <f t="shared" si="2"/>
        <v>48.5</v>
      </c>
      <c r="K50">
        <f t="shared" si="3"/>
        <v>48.5</v>
      </c>
      <c r="R50">
        <f t="shared" si="4"/>
        <v>98.5</v>
      </c>
      <c r="S50">
        <f t="shared" si="5"/>
        <v>98.5</v>
      </c>
      <c r="V50">
        <f t="shared" si="6"/>
        <v>4.3484293459999934E-4</v>
      </c>
    </row>
    <row r="51" spans="1:22" x14ac:dyDescent="0.35">
      <c r="A51" t="s">
        <v>51</v>
      </c>
      <c r="B51">
        <v>0.29241404269999999</v>
      </c>
      <c r="C51">
        <v>3.51034342E-4</v>
      </c>
      <c r="D51">
        <v>0.59043699999999999</v>
      </c>
      <c r="E51">
        <v>5.1428699999999999E-4</v>
      </c>
      <c r="F51" t="s">
        <v>101</v>
      </c>
      <c r="G51">
        <f t="shared" si="0"/>
        <v>0.29206300835799998</v>
      </c>
      <c r="H51">
        <f t="shared" si="1"/>
        <v>3.5103434200001171E-4</v>
      </c>
      <c r="I51">
        <f t="shared" si="7"/>
        <v>3.5103434200001171E-4</v>
      </c>
      <c r="J51">
        <f t="shared" si="2"/>
        <v>40.5</v>
      </c>
      <c r="K51">
        <f t="shared" si="3"/>
        <v>40.5</v>
      </c>
      <c r="R51">
        <f t="shared" si="4"/>
        <v>83.5</v>
      </c>
      <c r="S51">
        <f t="shared" si="5"/>
        <v>83.5</v>
      </c>
      <c r="V51">
        <f t="shared" si="6"/>
        <v>3.5103434200001171E-4</v>
      </c>
    </row>
    <row r="52" spans="1:22" x14ac:dyDescent="0.35">
      <c r="A52" t="s">
        <v>52</v>
      </c>
      <c r="B52">
        <v>-1.401332942</v>
      </c>
      <c r="C52">
        <v>-1.50434568E-4</v>
      </c>
      <c r="D52">
        <v>-2.0150000000000001</v>
      </c>
      <c r="E52">
        <v>-5.4233299999999999E-4</v>
      </c>
      <c r="F52" t="s">
        <v>101</v>
      </c>
      <c r="G52">
        <f t="shared" si="0"/>
        <v>-1.4011825074320001</v>
      </c>
      <c r="H52">
        <f t="shared" si="1"/>
        <v>-1.5043456799990196E-4</v>
      </c>
      <c r="I52">
        <f t="shared" si="7"/>
        <v>1.5043456799990196E-4</v>
      </c>
      <c r="J52">
        <f t="shared" si="2"/>
        <v>24</v>
      </c>
      <c r="K52">
        <f t="shared" si="3"/>
        <v>-24</v>
      </c>
      <c r="R52">
        <f t="shared" si="4"/>
        <v>45</v>
      </c>
      <c r="S52">
        <f t="shared" si="5"/>
        <v>-45</v>
      </c>
      <c r="V52">
        <f t="shared" si="6"/>
        <v>1.5043456799990196E-4</v>
      </c>
    </row>
    <row r="53" spans="1:22" x14ac:dyDescent="0.35">
      <c r="A53" t="s">
        <v>53</v>
      </c>
      <c r="B53">
        <v>-0.68309193199999996</v>
      </c>
      <c r="C53" s="1">
        <v>2.5214809299999899E-5</v>
      </c>
      <c r="D53">
        <v>-0.70127799999999996</v>
      </c>
      <c r="E53" s="1">
        <v>6.3279299999999996E-5</v>
      </c>
      <c r="F53" t="s">
        <v>101</v>
      </c>
      <c r="G53">
        <f t="shared" si="0"/>
        <v>-0.68311714680929991</v>
      </c>
      <c r="H53">
        <f t="shared" si="1"/>
        <v>2.5214809299956009E-5</v>
      </c>
      <c r="I53">
        <f t="shared" si="7"/>
        <v>2.5214809299956009E-5</v>
      </c>
      <c r="J53">
        <f t="shared" si="2"/>
        <v>2</v>
      </c>
      <c r="K53">
        <f t="shared" si="3"/>
        <v>2</v>
      </c>
      <c r="R53">
        <f t="shared" si="4"/>
        <v>3</v>
      </c>
      <c r="S53">
        <f t="shared" si="5"/>
        <v>3</v>
      </c>
      <c r="V53">
        <f t="shared" si="6"/>
        <v>2.5214809299956009E-5</v>
      </c>
    </row>
    <row r="54" spans="1:22" x14ac:dyDescent="0.35">
      <c r="A54" t="s">
        <v>54</v>
      </c>
      <c r="B54">
        <v>0.25286955999999999</v>
      </c>
      <c r="C54">
        <v>4.8909341699999997E-4</v>
      </c>
      <c r="D54">
        <v>-0.297126</v>
      </c>
      <c r="E54">
        <v>4.3999499999999999E-4</v>
      </c>
      <c r="F54" t="s">
        <v>101</v>
      </c>
      <c r="G54">
        <f t="shared" si="0"/>
        <v>0.25238046658300001</v>
      </c>
      <c r="H54">
        <f t="shared" si="1"/>
        <v>4.890934169999861E-4</v>
      </c>
      <c r="I54">
        <f t="shared" si="7"/>
        <v>4.890934169999861E-4</v>
      </c>
      <c r="J54">
        <f t="shared" si="2"/>
        <v>52</v>
      </c>
      <c r="K54">
        <f t="shared" si="3"/>
        <v>52</v>
      </c>
      <c r="R54">
        <f t="shared" si="4"/>
        <v>103</v>
      </c>
      <c r="S54">
        <f t="shared" si="5"/>
        <v>103</v>
      </c>
      <c r="V54">
        <f t="shared" si="6"/>
        <v>4.890934169999861E-4</v>
      </c>
    </row>
    <row r="55" spans="1:22" x14ac:dyDescent="0.35">
      <c r="A55" t="s">
        <v>55</v>
      </c>
      <c r="B55">
        <v>-0.1175712635</v>
      </c>
      <c r="C55" s="1">
        <v>-3.02182638E-5</v>
      </c>
      <c r="D55">
        <v>6.8063499999999999E-2</v>
      </c>
      <c r="E55" s="1">
        <v>7.3562199999999998E-5</v>
      </c>
      <c r="F55" t="s">
        <v>101</v>
      </c>
      <c r="G55">
        <f t="shared" si="0"/>
        <v>-0.1175410452362</v>
      </c>
      <c r="H55">
        <f t="shared" si="1"/>
        <v>-3.021826379999426E-5</v>
      </c>
      <c r="I55">
        <f t="shared" si="7"/>
        <v>3.021826379999426E-5</v>
      </c>
      <c r="J55">
        <f t="shared" si="2"/>
        <v>4</v>
      </c>
      <c r="K55">
        <f t="shared" si="3"/>
        <v>-4</v>
      </c>
      <c r="R55">
        <f t="shared" si="4"/>
        <v>6</v>
      </c>
      <c r="S55">
        <f t="shared" si="5"/>
        <v>-6</v>
      </c>
      <c r="V55">
        <f t="shared" si="6"/>
        <v>3.021826379999426E-5</v>
      </c>
    </row>
    <row r="56" spans="1:22" x14ac:dyDescent="0.35">
      <c r="A56" t="s">
        <v>56</v>
      </c>
      <c r="B56">
        <v>-0.683359563</v>
      </c>
      <c r="C56">
        <v>6.63817414E-4</v>
      </c>
      <c r="D56">
        <v>-1.1909099999999999</v>
      </c>
      <c r="E56">
        <v>1.33596E-3</v>
      </c>
      <c r="F56" t="s">
        <v>101</v>
      </c>
      <c r="G56">
        <f t="shared" si="0"/>
        <v>-0.68402338041400002</v>
      </c>
      <c r="H56">
        <f t="shared" si="1"/>
        <v>6.6381741400001193E-4</v>
      </c>
      <c r="I56">
        <f t="shared" si="7"/>
        <v>6.6381741400001193E-4</v>
      </c>
      <c r="J56">
        <f t="shared" si="2"/>
        <v>61</v>
      </c>
      <c r="K56">
        <f t="shared" si="3"/>
        <v>61</v>
      </c>
      <c r="R56">
        <f t="shared" si="4"/>
        <v>121</v>
      </c>
      <c r="S56">
        <f t="shared" si="5"/>
        <v>121</v>
      </c>
      <c r="V56">
        <f t="shared" si="6"/>
        <v>6.6381741400001193E-4</v>
      </c>
    </row>
    <row r="57" spans="1:22" x14ac:dyDescent="0.35">
      <c r="A57" t="s">
        <v>57</v>
      </c>
      <c r="B57">
        <v>-0.40390394299999999</v>
      </c>
      <c r="C57">
        <v>4.9027596200000004E-4</v>
      </c>
      <c r="D57">
        <v>-0.46426699999999999</v>
      </c>
      <c r="E57">
        <v>9.2372299999999999E-4</v>
      </c>
      <c r="F57" t="s">
        <v>101</v>
      </c>
      <c r="G57">
        <f t="shared" si="0"/>
        <v>-0.40439421896200001</v>
      </c>
      <c r="H57">
        <f t="shared" si="1"/>
        <v>4.9027596200001966E-4</v>
      </c>
      <c r="I57">
        <f t="shared" si="7"/>
        <v>4.9027596200001966E-4</v>
      </c>
      <c r="J57">
        <f t="shared" si="2"/>
        <v>53.5</v>
      </c>
      <c r="K57">
        <f t="shared" si="3"/>
        <v>53.5</v>
      </c>
      <c r="R57">
        <f t="shared" si="4"/>
        <v>104.5</v>
      </c>
      <c r="S57">
        <f t="shared" si="5"/>
        <v>104.5</v>
      </c>
      <c r="V57">
        <f t="shared" si="6"/>
        <v>4.9027596200001966E-4</v>
      </c>
    </row>
    <row r="58" spans="1:22" x14ac:dyDescent="0.35">
      <c r="A58" t="s">
        <v>58</v>
      </c>
      <c r="B58">
        <v>-1.3219975999999901E-2</v>
      </c>
      <c r="C58">
        <v>-3.0271071740000001E-4</v>
      </c>
      <c r="D58">
        <v>0.54313900000000004</v>
      </c>
      <c r="E58">
        <v>-5.8109999999999998E-4</v>
      </c>
      <c r="F58" t="s">
        <v>101</v>
      </c>
      <c r="G58">
        <f t="shared" si="0"/>
        <v>-1.2917265282599901E-2</v>
      </c>
      <c r="H58">
        <f t="shared" si="1"/>
        <v>-3.0271071739999995E-4</v>
      </c>
      <c r="I58">
        <f t="shared" si="7"/>
        <v>3.0271071739999995E-4</v>
      </c>
      <c r="J58">
        <f t="shared" si="2"/>
        <v>33</v>
      </c>
      <c r="K58">
        <f t="shared" si="3"/>
        <v>-33</v>
      </c>
      <c r="R58">
        <f t="shared" si="4"/>
        <v>73</v>
      </c>
      <c r="S58">
        <f t="shared" si="5"/>
        <v>-73</v>
      </c>
      <c r="V58">
        <f t="shared" si="6"/>
        <v>3.0271071739999995E-4</v>
      </c>
    </row>
    <row r="59" spans="1:22" x14ac:dyDescent="0.35">
      <c r="A59" t="s">
        <v>59</v>
      </c>
      <c r="B59">
        <v>0.76217485100000004</v>
      </c>
      <c r="C59" s="1">
        <v>-9.0917515999999995E-5</v>
      </c>
      <c r="D59">
        <v>1.2351099999999999</v>
      </c>
      <c r="E59">
        <v>-4.7624899999999999E-4</v>
      </c>
      <c r="F59" t="s">
        <v>101</v>
      </c>
      <c r="G59">
        <f t="shared" si="0"/>
        <v>0.76226576851600003</v>
      </c>
      <c r="H59">
        <f t="shared" si="1"/>
        <v>-9.0917515999988652E-5</v>
      </c>
      <c r="I59">
        <f t="shared" si="7"/>
        <v>9.0917515999988652E-5</v>
      </c>
      <c r="J59">
        <f t="shared" si="2"/>
        <v>13</v>
      </c>
      <c r="K59">
        <f t="shared" si="3"/>
        <v>-13</v>
      </c>
      <c r="R59">
        <f t="shared" si="4"/>
        <v>24</v>
      </c>
      <c r="S59">
        <f t="shared" si="5"/>
        <v>-24</v>
      </c>
      <c r="V59">
        <f t="shared" si="6"/>
        <v>9.0917515999988652E-5</v>
      </c>
    </row>
    <row r="60" spans="1:22" x14ac:dyDescent="0.35">
      <c r="A60" t="s">
        <v>60</v>
      </c>
      <c r="B60">
        <v>0.127636417</v>
      </c>
      <c r="C60" s="1">
        <v>-9.5002111999999996E-5</v>
      </c>
      <c r="D60">
        <v>0.91615199999999997</v>
      </c>
      <c r="E60">
        <v>-5.5261700000000004E-4</v>
      </c>
      <c r="F60" t="s">
        <v>101</v>
      </c>
      <c r="G60">
        <f t="shared" si="0"/>
        <v>0.12773141911200001</v>
      </c>
      <c r="H60">
        <f t="shared" si="1"/>
        <v>-9.5002112000003303E-5</v>
      </c>
      <c r="I60">
        <f t="shared" si="7"/>
        <v>9.5002112000003303E-5</v>
      </c>
      <c r="J60">
        <f t="shared" si="2"/>
        <v>14</v>
      </c>
      <c r="K60">
        <f t="shared" si="3"/>
        <v>-14</v>
      </c>
      <c r="R60">
        <f t="shared" si="4"/>
        <v>25</v>
      </c>
      <c r="S60">
        <f t="shared" si="5"/>
        <v>-25</v>
      </c>
      <c r="V60">
        <f t="shared" si="6"/>
        <v>9.5002112000003303E-5</v>
      </c>
    </row>
    <row r="61" spans="1:22" x14ac:dyDescent="0.35">
      <c r="A61" t="s">
        <v>61</v>
      </c>
      <c r="B61">
        <v>0.59567343939999995</v>
      </c>
      <c r="C61">
        <v>6.7593332999999996E-4</v>
      </c>
      <c r="D61">
        <v>0.39792100000000002</v>
      </c>
      <c r="E61">
        <v>1.1785000000000001E-3</v>
      </c>
      <c r="F61" t="s">
        <v>101</v>
      </c>
      <c r="G61">
        <f t="shared" si="0"/>
        <v>0.5949975060699999</v>
      </c>
      <c r="H61">
        <f t="shared" si="1"/>
        <v>6.7593333000004474E-4</v>
      </c>
      <c r="I61">
        <f t="shared" si="7"/>
        <v>6.7593333000004474E-4</v>
      </c>
      <c r="J61">
        <f t="shared" si="2"/>
        <v>62</v>
      </c>
      <c r="K61">
        <f t="shared" si="3"/>
        <v>62</v>
      </c>
      <c r="R61">
        <f t="shared" si="4"/>
        <v>122</v>
      </c>
      <c r="S61">
        <f t="shared" si="5"/>
        <v>122</v>
      </c>
      <c r="V61">
        <f t="shared" si="6"/>
        <v>6.7593333000004474E-4</v>
      </c>
    </row>
    <row r="62" spans="1:22" x14ac:dyDescent="0.35">
      <c r="A62" t="s">
        <v>62</v>
      </c>
      <c r="B62">
        <v>0.89476640500000004</v>
      </c>
      <c r="C62">
        <v>1.3924127460000001E-4</v>
      </c>
      <c r="D62">
        <v>0.92742999999999998</v>
      </c>
      <c r="E62">
        <v>4.09436E-4</v>
      </c>
      <c r="F62" t="s">
        <v>101</v>
      </c>
      <c r="G62">
        <f t="shared" si="0"/>
        <v>0.89462716372540008</v>
      </c>
      <c r="H62">
        <f t="shared" si="1"/>
        <v>1.3924127459996605E-4</v>
      </c>
      <c r="I62">
        <f t="shared" si="7"/>
        <v>1.3924127459996605E-4</v>
      </c>
      <c r="J62">
        <f t="shared" si="2"/>
        <v>18</v>
      </c>
      <c r="K62">
        <f t="shared" si="3"/>
        <v>18</v>
      </c>
      <c r="R62">
        <f t="shared" si="4"/>
        <v>36.5</v>
      </c>
      <c r="S62">
        <f t="shared" si="5"/>
        <v>36.5</v>
      </c>
      <c r="V62">
        <f t="shared" si="6"/>
        <v>1.3924127459996605E-4</v>
      </c>
    </row>
    <row r="63" spans="1:22" x14ac:dyDescent="0.35">
      <c r="A63" t="s">
        <v>63</v>
      </c>
      <c r="B63">
        <v>-7.8966956000000102E-2</v>
      </c>
      <c r="C63">
        <v>1.9875833700000001E-4</v>
      </c>
      <c r="D63">
        <v>-0.98415600000000003</v>
      </c>
      <c r="E63">
        <v>4.7552E-4</v>
      </c>
      <c r="F63" t="s">
        <v>101</v>
      </c>
      <c r="G63">
        <f t="shared" si="0"/>
        <v>-7.9165714337000107E-2</v>
      </c>
      <c r="H63">
        <f t="shared" si="1"/>
        <v>1.9875833700000456E-4</v>
      </c>
      <c r="I63">
        <f t="shared" si="7"/>
        <v>1.9875833700000456E-4</v>
      </c>
      <c r="J63">
        <f t="shared" si="2"/>
        <v>26.5</v>
      </c>
      <c r="K63">
        <f t="shared" si="3"/>
        <v>26.5</v>
      </c>
      <c r="R63">
        <f t="shared" si="4"/>
        <v>51.5</v>
      </c>
      <c r="S63">
        <f t="shared" si="5"/>
        <v>51.5</v>
      </c>
      <c r="V63">
        <f t="shared" si="6"/>
        <v>1.9875833700000456E-4</v>
      </c>
    </row>
    <row r="64" spans="1:22" x14ac:dyDescent="0.35">
      <c r="A64" t="s">
        <v>64</v>
      </c>
      <c r="B64">
        <v>-1.120137132</v>
      </c>
      <c r="C64">
        <v>-3.3141514679999999E-3</v>
      </c>
      <c r="D64">
        <v>-1.83558</v>
      </c>
      <c r="E64">
        <v>-6.0605299999999997E-3</v>
      </c>
      <c r="F64" t="s">
        <v>101</v>
      </c>
      <c r="G64">
        <f t="shared" si="0"/>
        <v>-1.116822980532</v>
      </c>
      <c r="H64">
        <f t="shared" si="1"/>
        <v>-3.3141514679999595E-3</v>
      </c>
      <c r="I64">
        <f t="shared" si="7"/>
        <v>3.3141514679999595E-3</v>
      </c>
      <c r="J64">
        <f t="shared" si="2"/>
        <v>89</v>
      </c>
      <c r="K64">
        <f t="shared" si="3"/>
        <v>-89</v>
      </c>
      <c r="R64">
        <f t="shared" si="4"/>
        <v>163</v>
      </c>
      <c r="S64">
        <f t="shared" si="5"/>
        <v>-163</v>
      </c>
      <c r="V64">
        <f t="shared" si="6"/>
        <v>3.3141514679999595E-3</v>
      </c>
    </row>
    <row r="65" spans="1:22" x14ac:dyDescent="0.35">
      <c r="A65" t="s">
        <v>65</v>
      </c>
      <c r="B65">
        <v>-0.56636540899999999</v>
      </c>
      <c r="C65">
        <v>7.1806965219999995E-4</v>
      </c>
      <c r="D65">
        <v>-0.31016100000000002</v>
      </c>
      <c r="E65">
        <v>8.4195199999999998E-4</v>
      </c>
      <c r="F65" t="s">
        <v>101</v>
      </c>
      <c r="G65">
        <f t="shared" si="0"/>
        <v>-0.56708347865219999</v>
      </c>
      <c r="H65">
        <f t="shared" si="1"/>
        <v>7.1806965220000407E-4</v>
      </c>
      <c r="I65">
        <f t="shared" si="7"/>
        <v>7.1806965220000407E-4</v>
      </c>
      <c r="J65">
        <f t="shared" si="2"/>
        <v>63</v>
      </c>
      <c r="K65">
        <f t="shared" si="3"/>
        <v>63</v>
      </c>
      <c r="R65">
        <f t="shared" si="4"/>
        <v>124</v>
      </c>
      <c r="S65">
        <f t="shared" si="5"/>
        <v>124</v>
      </c>
      <c r="V65">
        <f t="shared" si="6"/>
        <v>7.1806965220000407E-4</v>
      </c>
    </row>
    <row r="66" spans="1:22" x14ac:dyDescent="0.35">
      <c r="A66" t="s">
        <v>66</v>
      </c>
      <c r="B66">
        <v>0.32459046600000002</v>
      </c>
      <c r="C66">
        <v>-2.5777790379999999E-3</v>
      </c>
      <c r="D66">
        <v>0.95507600000000004</v>
      </c>
      <c r="E66">
        <v>-5.0291499999999996E-3</v>
      </c>
      <c r="F66" t="s">
        <v>101</v>
      </c>
      <c r="G66">
        <f t="shared" si="0"/>
        <v>0.32716824503800002</v>
      </c>
      <c r="H66">
        <f t="shared" si="1"/>
        <v>-2.5777790379999943E-3</v>
      </c>
      <c r="I66">
        <f t="shared" si="7"/>
        <v>2.5777790379999943E-3</v>
      </c>
      <c r="J66">
        <f t="shared" si="2"/>
        <v>69</v>
      </c>
      <c r="K66">
        <f t="shared" si="3"/>
        <v>-69</v>
      </c>
      <c r="R66">
        <f t="shared" si="4"/>
        <v>131</v>
      </c>
      <c r="S66">
        <f t="shared" si="5"/>
        <v>-131</v>
      </c>
      <c r="V66">
        <f t="shared" si="6"/>
        <v>2.5777790379999943E-3</v>
      </c>
    </row>
    <row r="67" spans="1:22" x14ac:dyDescent="0.35">
      <c r="A67" t="s">
        <v>67</v>
      </c>
      <c r="B67">
        <v>1.0642201410000001</v>
      </c>
      <c r="C67">
        <v>1.09023805E-4</v>
      </c>
      <c r="D67">
        <v>1.4793400000000001</v>
      </c>
      <c r="E67">
        <v>4.8299900000000002E-4</v>
      </c>
      <c r="F67" t="s">
        <v>101</v>
      </c>
      <c r="G67">
        <f t="shared" ref="G67:G130" si="8">B67-C67</f>
        <v>1.064111117195</v>
      </c>
      <c r="H67">
        <f t="shared" ref="H67:H130" si="9">B67-G67</f>
        <v>1.09023805000108E-4</v>
      </c>
      <c r="I67">
        <f t="shared" ref="I67:I130" si="10">ABS(H67)</f>
        <v>1.09023805000108E-4</v>
      </c>
      <c r="J67">
        <f t="shared" ref="J67:J96" si="11">IF(V67="","",_xlfn.RANK.AVG(V67,$V$2:$V$97,1))</f>
        <v>15</v>
      </c>
      <c r="K67">
        <f t="shared" ref="K67:K97" si="12">SIGN(H67)*J67</f>
        <v>15</v>
      </c>
      <c r="R67">
        <f t="shared" ref="R67:R130" si="13">IF(V67="","",_xlfn.RANK.AVG(V67,$V$2:$V$183,1))</f>
        <v>26</v>
      </c>
      <c r="S67">
        <f t="shared" ref="S67:S130" si="14">SIGN(H67)*R67</f>
        <v>26</v>
      </c>
      <c r="V67">
        <f t="shared" ref="V67:V130" si="15">IF(H67=0,"",I67)</f>
        <v>1.09023805000108E-4</v>
      </c>
    </row>
    <row r="68" spans="1:22" x14ac:dyDescent="0.35">
      <c r="A68" t="s">
        <v>68</v>
      </c>
      <c r="B68">
        <v>0.68172432000000005</v>
      </c>
      <c r="C68">
        <v>2.0586668900000001E-4</v>
      </c>
      <c r="D68">
        <v>0.93210899999999997</v>
      </c>
      <c r="E68">
        <v>5.3204900000000004E-4</v>
      </c>
      <c r="F68" t="s">
        <v>101</v>
      </c>
      <c r="G68">
        <f t="shared" si="8"/>
        <v>0.68151845331100003</v>
      </c>
      <c r="H68">
        <f t="shared" si="9"/>
        <v>2.058666890000227E-4</v>
      </c>
      <c r="I68">
        <f t="shared" si="10"/>
        <v>2.058666890000227E-4</v>
      </c>
      <c r="J68">
        <f t="shared" si="11"/>
        <v>29</v>
      </c>
      <c r="K68">
        <f t="shared" si="12"/>
        <v>29</v>
      </c>
      <c r="R68">
        <f t="shared" si="13"/>
        <v>56.5</v>
      </c>
      <c r="S68">
        <f t="shared" si="14"/>
        <v>56.5</v>
      </c>
      <c r="V68">
        <f t="shared" si="15"/>
        <v>2.058666890000227E-4</v>
      </c>
    </row>
    <row r="69" spans="1:22" x14ac:dyDescent="0.35">
      <c r="A69" t="s">
        <v>69</v>
      </c>
      <c r="B69">
        <v>0.79115192999999995</v>
      </c>
      <c r="C69" s="1">
        <v>4.8323488499999903E-5</v>
      </c>
      <c r="D69">
        <v>2.0789900000000001</v>
      </c>
      <c r="E69" s="1">
        <v>-6.6813500000000007E-5</v>
      </c>
      <c r="F69" t="s">
        <v>101</v>
      </c>
      <c r="G69">
        <f t="shared" si="8"/>
        <v>0.79110360651149991</v>
      </c>
      <c r="H69">
        <f t="shared" si="9"/>
        <v>4.8323488500034983E-5</v>
      </c>
      <c r="I69">
        <f t="shared" si="10"/>
        <v>4.8323488500034983E-5</v>
      </c>
      <c r="J69">
        <f t="shared" si="11"/>
        <v>5.5</v>
      </c>
      <c r="K69">
        <f t="shared" si="12"/>
        <v>5.5</v>
      </c>
      <c r="R69">
        <f t="shared" si="13"/>
        <v>9.5</v>
      </c>
      <c r="S69">
        <f t="shared" si="14"/>
        <v>9.5</v>
      </c>
      <c r="V69">
        <f t="shared" si="15"/>
        <v>4.8323488500034983E-5</v>
      </c>
    </row>
    <row r="70" spans="1:22" x14ac:dyDescent="0.35">
      <c r="A70" t="s">
        <v>70</v>
      </c>
      <c r="B70">
        <v>1.25476615</v>
      </c>
      <c r="C70">
        <v>-3.102358533E-3</v>
      </c>
      <c r="D70">
        <v>1.6948799999999999</v>
      </c>
      <c r="E70">
        <v>-5.9556799999999997E-3</v>
      </c>
      <c r="F70" t="s">
        <v>101</v>
      </c>
      <c r="G70">
        <f t="shared" si="8"/>
        <v>1.2578685085329999</v>
      </c>
      <c r="H70">
        <f t="shared" si="9"/>
        <v>-3.1023585329998937E-3</v>
      </c>
      <c r="I70">
        <f t="shared" si="10"/>
        <v>3.1023585329998937E-3</v>
      </c>
      <c r="J70">
        <f t="shared" si="11"/>
        <v>81</v>
      </c>
      <c r="K70">
        <f t="shared" si="12"/>
        <v>-81</v>
      </c>
      <c r="R70">
        <f t="shared" si="13"/>
        <v>148</v>
      </c>
      <c r="S70">
        <f t="shared" si="14"/>
        <v>-148</v>
      </c>
      <c r="V70">
        <f t="shared" si="15"/>
        <v>3.1023585329998937E-3</v>
      </c>
    </row>
    <row r="71" spans="1:22" x14ac:dyDescent="0.35">
      <c r="A71" t="s">
        <v>71</v>
      </c>
      <c r="B71">
        <v>-0.34673130699999999</v>
      </c>
      <c r="C71">
        <v>-2.9276317414E-3</v>
      </c>
      <c r="D71">
        <v>-0.96899599999999997</v>
      </c>
      <c r="E71">
        <v>-5.0597100000000002E-3</v>
      </c>
      <c r="F71" t="s">
        <v>101</v>
      </c>
      <c r="G71">
        <f t="shared" si="8"/>
        <v>-0.34380367525860001</v>
      </c>
      <c r="H71">
        <f t="shared" si="9"/>
        <v>-2.9276317413999831E-3</v>
      </c>
      <c r="I71">
        <f t="shared" si="10"/>
        <v>2.9276317413999831E-3</v>
      </c>
      <c r="J71">
        <f t="shared" si="11"/>
        <v>72</v>
      </c>
      <c r="K71">
        <f t="shared" si="12"/>
        <v>-72</v>
      </c>
      <c r="R71">
        <f t="shared" si="13"/>
        <v>137</v>
      </c>
      <c r="S71">
        <f t="shared" si="14"/>
        <v>-137</v>
      </c>
      <c r="V71">
        <f t="shared" si="15"/>
        <v>2.9276317413999831E-3</v>
      </c>
    </row>
    <row r="72" spans="1:22" x14ac:dyDescent="0.35">
      <c r="A72" t="s">
        <v>72</v>
      </c>
      <c r="B72">
        <v>0.382743165</v>
      </c>
      <c r="C72">
        <v>-3.1618734449999999E-3</v>
      </c>
      <c r="D72">
        <v>0.495869</v>
      </c>
      <c r="E72">
        <v>-6.0217600000000001E-3</v>
      </c>
      <c r="F72" t="s">
        <v>101</v>
      </c>
      <c r="G72">
        <f t="shared" si="8"/>
        <v>0.38590503844500001</v>
      </c>
      <c r="H72">
        <f t="shared" si="9"/>
        <v>-3.1618734450000185E-3</v>
      </c>
      <c r="I72">
        <f t="shared" si="10"/>
        <v>3.1618734450000185E-3</v>
      </c>
      <c r="J72">
        <f t="shared" si="11"/>
        <v>83</v>
      </c>
      <c r="K72">
        <f t="shared" si="12"/>
        <v>-83</v>
      </c>
      <c r="R72">
        <f t="shared" si="13"/>
        <v>153</v>
      </c>
      <c r="S72">
        <f t="shared" si="14"/>
        <v>-153</v>
      </c>
      <c r="V72">
        <f t="shared" si="15"/>
        <v>3.1618734450000185E-3</v>
      </c>
    </row>
    <row r="73" spans="1:22" x14ac:dyDescent="0.35">
      <c r="A73" t="s">
        <v>73</v>
      </c>
      <c r="B73">
        <v>-1.1621890308</v>
      </c>
      <c r="C73">
        <v>-3.0271071740000001E-4</v>
      </c>
      <c r="D73">
        <v>-1.4505600000000001</v>
      </c>
      <c r="E73">
        <v>-5.8109999999999998E-4</v>
      </c>
      <c r="F73" t="s">
        <v>101</v>
      </c>
      <c r="G73">
        <f t="shared" si="8"/>
        <v>-1.1618863200826</v>
      </c>
      <c r="H73">
        <f t="shared" si="9"/>
        <v>-3.0271071740006761E-4</v>
      </c>
      <c r="I73">
        <f t="shared" si="10"/>
        <v>3.0271071740006761E-4</v>
      </c>
      <c r="J73">
        <f t="shared" si="11"/>
        <v>34</v>
      </c>
      <c r="K73">
        <f t="shared" si="12"/>
        <v>-34</v>
      </c>
      <c r="R73">
        <f t="shared" si="13"/>
        <v>74</v>
      </c>
      <c r="S73">
        <f t="shared" si="14"/>
        <v>-74</v>
      </c>
      <c r="V73">
        <f t="shared" si="15"/>
        <v>3.0271071740006761E-4</v>
      </c>
    </row>
    <row r="74" spans="1:22" x14ac:dyDescent="0.35">
      <c r="A74" t="s">
        <v>74</v>
      </c>
      <c r="B74">
        <v>0.29050587944</v>
      </c>
      <c r="C74">
        <v>1.0743744970000001E-3</v>
      </c>
      <c r="D74">
        <v>0.91980499999999998</v>
      </c>
      <c r="E74">
        <v>1.9163400000000001E-3</v>
      </c>
      <c r="F74" t="s">
        <v>101</v>
      </c>
      <c r="G74">
        <f t="shared" si="8"/>
        <v>0.28943150494300002</v>
      </c>
      <c r="H74">
        <f t="shared" si="9"/>
        <v>1.0743744969999858E-3</v>
      </c>
      <c r="I74">
        <f t="shared" si="10"/>
        <v>1.0743744969999858E-3</v>
      </c>
      <c r="J74">
        <f t="shared" si="11"/>
        <v>67</v>
      </c>
      <c r="K74">
        <f t="shared" si="12"/>
        <v>67</v>
      </c>
      <c r="R74">
        <f t="shared" si="13"/>
        <v>129</v>
      </c>
      <c r="S74">
        <f t="shared" si="14"/>
        <v>129</v>
      </c>
      <c r="V74">
        <f t="shared" si="15"/>
        <v>1.0743744969999858E-3</v>
      </c>
    </row>
    <row r="75" spans="1:22" x14ac:dyDescent="0.35">
      <c r="A75" t="s">
        <v>75</v>
      </c>
      <c r="B75">
        <v>0.75227665199999905</v>
      </c>
      <c r="C75">
        <v>-3.0416544479999999E-3</v>
      </c>
      <c r="D75">
        <v>1.2547999999999999</v>
      </c>
      <c r="E75">
        <v>-5.4058600000000002E-3</v>
      </c>
      <c r="F75" t="s">
        <v>101</v>
      </c>
      <c r="G75">
        <f t="shared" si="8"/>
        <v>0.75531830644799902</v>
      </c>
      <c r="H75">
        <f t="shared" si="9"/>
        <v>-3.0416544479999752E-3</v>
      </c>
      <c r="I75">
        <f t="shared" si="10"/>
        <v>3.0416544479999752E-3</v>
      </c>
      <c r="J75">
        <f t="shared" si="11"/>
        <v>78.5</v>
      </c>
      <c r="K75">
        <f t="shared" si="12"/>
        <v>-78.5</v>
      </c>
      <c r="R75">
        <f t="shared" si="13"/>
        <v>145.5</v>
      </c>
      <c r="S75">
        <f t="shared" si="14"/>
        <v>-145.5</v>
      </c>
      <c r="V75">
        <f t="shared" si="15"/>
        <v>3.0416544479999752E-3</v>
      </c>
    </row>
    <row r="76" spans="1:22" x14ac:dyDescent="0.35">
      <c r="A76" t="s">
        <v>76</v>
      </c>
      <c r="B76">
        <v>0.61968134799999997</v>
      </c>
      <c r="C76">
        <v>0</v>
      </c>
      <c r="D76">
        <v>0.54048700000000005</v>
      </c>
      <c r="E76">
        <v>0</v>
      </c>
      <c r="F76" t="s">
        <v>101</v>
      </c>
      <c r="G76">
        <f t="shared" si="8"/>
        <v>0.61968134799999997</v>
      </c>
      <c r="H76">
        <f t="shared" si="9"/>
        <v>0</v>
      </c>
      <c r="I76">
        <f t="shared" si="10"/>
        <v>0</v>
      </c>
      <c r="J76" t="str">
        <f t="shared" si="11"/>
        <v/>
      </c>
      <c r="K76" t="e">
        <f t="shared" si="12"/>
        <v>#VALUE!</v>
      </c>
      <c r="R76" t="str">
        <f t="shared" si="13"/>
        <v/>
      </c>
      <c r="S76" t="e">
        <f t="shared" si="14"/>
        <v>#VALUE!</v>
      </c>
      <c r="V76" t="str">
        <f t="shared" si="15"/>
        <v/>
      </c>
    </row>
    <row r="77" spans="1:22" x14ac:dyDescent="0.35">
      <c r="A77" t="s">
        <v>77</v>
      </c>
      <c r="B77">
        <v>7.4058696999999896E-2</v>
      </c>
      <c r="C77">
        <v>1.451674286E-4</v>
      </c>
      <c r="D77">
        <v>-0.79179299999999997</v>
      </c>
      <c r="E77" s="1">
        <v>-1.7762400000000001E-5</v>
      </c>
      <c r="F77" t="s">
        <v>101</v>
      </c>
      <c r="G77">
        <f t="shared" si="8"/>
        <v>7.3913529571399891E-2</v>
      </c>
      <c r="H77">
        <f t="shared" si="9"/>
        <v>1.4516742860000431E-4</v>
      </c>
      <c r="I77">
        <f t="shared" si="10"/>
        <v>1.4516742860000431E-4</v>
      </c>
      <c r="J77">
        <f t="shared" si="11"/>
        <v>22</v>
      </c>
      <c r="K77">
        <f t="shared" si="12"/>
        <v>22</v>
      </c>
      <c r="R77">
        <f t="shared" si="13"/>
        <v>43</v>
      </c>
      <c r="S77">
        <f t="shared" si="14"/>
        <v>43</v>
      </c>
      <c r="V77">
        <f t="shared" si="15"/>
        <v>1.4516742860000431E-4</v>
      </c>
    </row>
    <row r="78" spans="1:22" x14ac:dyDescent="0.35">
      <c r="A78" t="s">
        <v>78</v>
      </c>
      <c r="B78">
        <v>1.1431306050000001</v>
      </c>
      <c r="C78">
        <v>2.0586668900000001E-4</v>
      </c>
      <c r="D78">
        <v>2.05044</v>
      </c>
      <c r="E78">
        <v>5.3204900000000004E-4</v>
      </c>
      <c r="F78" t="s">
        <v>101</v>
      </c>
      <c r="G78">
        <f t="shared" si="8"/>
        <v>1.1429247383110002</v>
      </c>
      <c r="H78">
        <f t="shared" si="9"/>
        <v>2.0586668899991167E-4</v>
      </c>
      <c r="I78">
        <f t="shared" si="10"/>
        <v>2.0586668899991167E-4</v>
      </c>
      <c r="J78">
        <f t="shared" si="11"/>
        <v>28</v>
      </c>
      <c r="K78">
        <f t="shared" si="12"/>
        <v>28</v>
      </c>
      <c r="R78">
        <f t="shared" si="13"/>
        <v>54.5</v>
      </c>
      <c r="S78">
        <f t="shared" si="14"/>
        <v>54.5</v>
      </c>
      <c r="V78">
        <f t="shared" si="15"/>
        <v>2.0586668899991167E-4</v>
      </c>
    </row>
    <row r="79" spans="1:22" x14ac:dyDescent="0.35">
      <c r="A79" t="s">
        <v>79</v>
      </c>
      <c r="B79">
        <v>0.59697842899999998</v>
      </c>
      <c r="C79">
        <v>-3.0416544479999999E-3</v>
      </c>
      <c r="D79">
        <v>0.69419900000000001</v>
      </c>
      <c r="E79">
        <v>-5.4058600000000002E-3</v>
      </c>
      <c r="F79" t="s">
        <v>101</v>
      </c>
      <c r="G79">
        <f t="shared" si="8"/>
        <v>0.60002008344799995</v>
      </c>
      <c r="H79">
        <f t="shared" si="9"/>
        <v>-3.0416544479999752E-3</v>
      </c>
      <c r="I79">
        <f t="shared" si="10"/>
        <v>3.0416544479999752E-3</v>
      </c>
      <c r="J79">
        <f t="shared" si="11"/>
        <v>78.5</v>
      </c>
      <c r="K79">
        <f t="shared" si="12"/>
        <v>-78.5</v>
      </c>
      <c r="R79">
        <f t="shared" si="13"/>
        <v>145.5</v>
      </c>
      <c r="S79">
        <f t="shared" si="14"/>
        <v>-145.5</v>
      </c>
      <c r="V79">
        <f t="shared" si="15"/>
        <v>3.0416544479999752E-3</v>
      </c>
    </row>
    <row r="80" spans="1:22" x14ac:dyDescent="0.35">
      <c r="A80" t="s">
        <v>80</v>
      </c>
      <c r="B80">
        <v>6.6285297999999895E-2</v>
      </c>
      <c r="C80">
        <v>4.04626026E-4</v>
      </c>
      <c r="D80">
        <v>-0.110764</v>
      </c>
      <c r="E80">
        <v>1.00757E-3</v>
      </c>
      <c r="F80" t="s">
        <v>101</v>
      </c>
      <c r="G80">
        <f t="shared" si="8"/>
        <v>6.5880671973999896E-2</v>
      </c>
      <c r="H80">
        <f t="shared" si="9"/>
        <v>4.0462602599999897E-4</v>
      </c>
      <c r="I80">
        <f t="shared" si="10"/>
        <v>4.0462602599999897E-4</v>
      </c>
      <c r="J80">
        <f t="shared" si="11"/>
        <v>42</v>
      </c>
      <c r="K80">
        <f t="shared" si="12"/>
        <v>42</v>
      </c>
      <c r="R80">
        <f t="shared" si="13"/>
        <v>87.5</v>
      </c>
      <c r="S80">
        <f t="shared" si="14"/>
        <v>87.5</v>
      </c>
      <c r="V80">
        <f t="shared" si="15"/>
        <v>4.0462602599999897E-4</v>
      </c>
    </row>
    <row r="81" spans="1:22" x14ac:dyDescent="0.35">
      <c r="A81" t="s">
        <v>81</v>
      </c>
      <c r="B81">
        <v>-0.76075561400000002</v>
      </c>
      <c r="C81" s="1">
        <v>-8.9735386140000001E-5</v>
      </c>
      <c r="D81">
        <v>-0.71018099999999995</v>
      </c>
      <c r="E81" s="1">
        <v>7.4782599999999998E-6</v>
      </c>
      <c r="F81" t="s">
        <v>101</v>
      </c>
      <c r="G81">
        <f t="shared" si="8"/>
        <v>-0.76066587861386004</v>
      </c>
      <c r="H81">
        <f t="shared" si="9"/>
        <v>-8.9735386139988549E-5</v>
      </c>
      <c r="I81">
        <f t="shared" si="10"/>
        <v>8.9735386139988549E-5</v>
      </c>
      <c r="J81">
        <f t="shared" si="11"/>
        <v>11.5</v>
      </c>
      <c r="K81">
        <f t="shared" si="12"/>
        <v>-11.5</v>
      </c>
      <c r="R81">
        <f t="shared" si="13"/>
        <v>21.5</v>
      </c>
      <c r="S81">
        <f t="shared" si="14"/>
        <v>-21.5</v>
      </c>
      <c r="V81">
        <f t="shared" si="15"/>
        <v>8.9735386139988549E-5</v>
      </c>
    </row>
    <row r="82" spans="1:22" x14ac:dyDescent="0.35">
      <c r="A82" t="s">
        <v>82</v>
      </c>
      <c r="B82">
        <v>-0.12587014399999999</v>
      </c>
      <c r="C82">
        <v>4.2773457219999998E-4</v>
      </c>
      <c r="D82">
        <v>-1.0704499999999999</v>
      </c>
      <c r="E82">
        <v>8.7747699999999999E-4</v>
      </c>
      <c r="F82" t="s">
        <v>101</v>
      </c>
      <c r="G82">
        <f t="shared" si="8"/>
        <v>-0.12629787857219998</v>
      </c>
      <c r="H82">
        <f t="shared" si="9"/>
        <v>4.2773457219999478E-4</v>
      </c>
      <c r="I82">
        <f t="shared" si="10"/>
        <v>4.2773457219999478E-4</v>
      </c>
      <c r="J82">
        <f t="shared" si="11"/>
        <v>46</v>
      </c>
      <c r="K82">
        <f t="shared" si="12"/>
        <v>46</v>
      </c>
      <c r="R82">
        <f t="shared" si="13"/>
        <v>95</v>
      </c>
      <c r="S82">
        <f t="shared" si="14"/>
        <v>95</v>
      </c>
      <c r="V82">
        <f t="shared" si="15"/>
        <v>4.2773457219999478E-4</v>
      </c>
    </row>
    <row r="83" spans="1:22" x14ac:dyDescent="0.35">
      <c r="A83" t="s">
        <v>83</v>
      </c>
      <c r="B83">
        <v>0.54120675500000004</v>
      </c>
      <c r="C83">
        <v>7.5447861499999998E-4</v>
      </c>
      <c r="D83">
        <v>1.5116000000000001</v>
      </c>
      <c r="E83">
        <v>1.03813E-3</v>
      </c>
      <c r="F83" t="s">
        <v>101</v>
      </c>
      <c r="G83">
        <f t="shared" si="8"/>
        <v>0.54045227638500004</v>
      </c>
      <c r="H83">
        <f t="shared" si="9"/>
        <v>7.5447861499999824E-4</v>
      </c>
      <c r="I83">
        <f t="shared" si="10"/>
        <v>7.5447861499999824E-4</v>
      </c>
      <c r="J83">
        <f t="shared" si="11"/>
        <v>65</v>
      </c>
      <c r="K83">
        <f t="shared" si="12"/>
        <v>65</v>
      </c>
      <c r="R83">
        <f t="shared" si="13"/>
        <v>126</v>
      </c>
      <c r="S83">
        <f t="shared" si="14"/>
        <v>126</v>
      </c>
      <c r="V83">
        <f t="shared" si="15"/>
        <v>7.5447861499999824E-4</v>
      </c>
    </row>
    <row r="84" spans="1:22" x14ac:dyDescent="0.35">
      <c r="A84" t="s">
        <v>84</v>
      </c>
      <c r="B84">
        <v>-1.1467544350000001</v>
      </c>
      <c r="C84" s="1">
        <v>-3.02182638E-5</v>
      </c>
      <c r="D84">
        <v>-0.490205</v>
      </c>
      <c r="E84" s="1">
        <v>7.3562199999999998E-5</v>
      </c>
      <c r="F84" t="s">
        <v>101</v>
      </c>
      <c r="G84">
        <f t="shared" si="8"/>
        <v>-1.1467242167362002</v>
      </c>
      <c r="H84">
        <f t="shared" si="9"/>
        <v>-3.0218263799897116E-5</v>
      </c>
      <c r="I84">
        <f t="shared" si="10"/>
        <v>3.0218263799897116E-5</v>
      </c>
      <c r="J84">
        <f t="shared" si="11"/>
        <v>3</v>
      </c>
      <c r="K84">
        <f t="shared" si="12"/>
        <v>-3</v>
      </c>
      <c r="R84">
        <f t="shared" si="13"/>
        <v>5</v>
      </c>
      <c r="S84">
        <f t="shared" si="14"/>
        <v>-5</v>
      </c>
      <c r="V84">
        <f t="shared" si="15"/>
        <v>3.0218263799897116E-5</v>
      </c>
    </row>
    <row r="85" spans="1:22" x14ac:dyDescent="0.35">
      <c r="A85" t="s">
        <v>85</v>
      </c>
      <c r="B85">
        <v>0.533358471</v>
      </c>
      <c r="C85">
        <v>-3.45220572E-3</v>
      </c>
      <c r="D85">
        <v>0.103253</v>
      </c>
      <c r="E85">
        <v>-5.9862300000000004E-3</v>
      </c>
      <c r="F85" t="s">
        <v>101</v>
      </c>
      <c r="G85">
        <f t="shared" si="8"/>
        <v>0.53681067672000005</v>
      </c>
      <c r="H85">
        <f t="shared" si="9"/>
        <v>-3.4522057200000456E-3</v>
      </c>
      <c r="I85">
        <f t="shared" si="10"/>
        <v>3.4522057200000456E-3</v>
      </c>
      <c r="J85">
        <f t="shared" si="11"/>
        <v>91</v>
      </c>
      <c r="K85">
        <f t="shared" si="12"/>
        <v>-91</v>
      </c>
      <c r="R85">
        <f t="shared" si="13"/>
        <v>168</v>
      </c>
      <c r="S85">
        <f t="shared" si="14"/>
        <v>-168</v>
      </c>
      <c r="V85">
        <f t="shared" si="15"/>
        <v>3.4522057200000456E-3</v>
      </c>
    </row>
    <row r="86" spans="1:22" x14ac:dyDescent="0.35">
      <c r="A86" t="s">
        <v>86</v>
      </c>
      <c r="B86">
        <v>0.21626611400000001</v>
      </c>
      <c r="C86">
        <v>-3.307042555E-3</v>
      </c>
      <c r="D86">
        <v>0.92504200000000003</v>
      </c>
      <c r="E86">
        <v>-6.0039999999999998E-3</v>
      </c>
      <c r="F86" t="s">
        <v>101</v>
      </c>
      <c r="G86">
        <f t="shared" si="8"/>
        <v>0.21957315655500001</v>
      </c>
      <c r="H86">
        <f t="shared" si="9"/>
        <v>-3.3070425550000004E-3</v>
      </c>
      <c r="I86">
        <f t="shared" si="10"/>
        <v>3.3070425550000004E-3</v>
      </c>
      <c r="J86">
        <f t="shared" si="11"/>
        <v>88</v>
      </c>
      <c r="K86">
        <f t="shared" si="12"/>
        <v>-88</v>
      </c>
      <c r="R86">
        <f t="shared" si="13"/>
        <v>162</v>
      </c>
      <c r="S86">
        <f t="shared" si="14"/>
        <v>-162</v>
      </c>
      <c r="V86">
        <f t="shared" si="15"/>
        <v>3.3070425550000004E-3</v>
      </c>
    </row>
    <row r="87" spans="1:22" x14ac:dyDescent="0.35">
      <c r="A87" t="s">
        <v>87</v>
      </c>
      <c r="B87">
        <v>-0.35438607500000002</v>
      </c>
      <c r="C87">
        <v>-4.7217052895000001E-4</v>
      </c>
      <c r="D87">
        <v>-0.60363299999999998</v>
      </c>
      <c r="E87">
        <v>-9.1697399999999998E-4</v>
      </c>
      <c r="F87" t="s">
        <v>101</v>
      </c>
      <c r="G87">
        <f t="shared" si="8"/>
        <v>-0.35391390447105003</v>
      </c>
      <c r="H87">
        <f t="shared" si="9"/>
        <v>-4.721705289499889E-4</v>
      </c>
      <c r="I87">
        <f t="shared" si="10"/>
        <v>4.721705289499889E-4</v>
      </c>
      <c r="J87">
        <f t="shared" si="11"/>
        <v>51</v>
      </c>
      <c r="K87">
        <f t="shared" si="12"/>
        <v>-51</v>
      </c>
      <c r="R87">
        <f t="shared" si="13"/>
        <v>102</v>
      </c>
      <c r="S87">
        <f t="shared" si="14"/>
        <v>-102</v>
      </c>
      <c r="V87">
        <f t="shared" si="15"/>
        <v>4.721705289499889E-4</v>
      </c>
    </row>
    <row r="88" spans="1:22" x14ac:dyDescent="0.35">
      <c r="A88" t="s">
        <v>88</v>
      </c>
      <c r="B88">
        <v>-0.57236575700000003</v>
      </c>
      <c r="C88">
        <v>0</v>
      </c>
      <c r="D88">
        <v>-0.45535599999999998</v>
      </c>
      <c r="E88">
        <v>0</v>
      </c>
      <c r="F88" t="s">
        <v>101</v>
      </c>
      <c r="G88">
        <f t="shared" si="8"/>
        <v>-0.57236575700000003</v>
      </c>
      <c r="H88">
        <f t="shared" si="9"/>
        <v>0</v>
      </c>
      <c r="I88">
        <f t="shared" si="10"/>
        <v>0</v>
      </c>
      <c r="J88" t="str">
        <f t="shared" si="11"/>
        <v/>
      </c>
      <c r="K88" t="e">
        <f t="shared" si="12"/>
        <v>#VALUE!</v>
      </c>
      <c r="R88" t="str">
        <f t="shared" si="13"/>
        <v/>
      </c>
      <c r="S88" t="e">
        <f t="shared" si="14"/>
        <v>#VALUE!</v>
      </c>
      <c r="V88" t="str">
        <f t="shared" si="15"/>
        <v/>
      </c>
    </row>
    <row r="89" spans="1:22" x14ac:dyDescent="0.35">
      <c r="A89" t="s">
        <v>89</v>
      </c>
      <c r="B89">
        <v>-0.785834001</v>
      </c>
      <c r="C89">
        <v>2.218678E-4</v>
      </c>
      <c r="D89">
        <v>0.234899</v>
      </c>
      <c r="E89">
        <v>3.45428E-4</v>
      </c>
      <c r="F89" t="s">
        <v>101</v>
      </c>
      <c r="G89">
        <f t="shared" si="8"/>
        <v>-0.7860558688</v>
      </c>
      <c r="H89">
        <f t="shared" si="9"/>
        <v>2.2186779999999739E-4</v>
      </c>
      <c r="I89">
        <f t="shared" si="10"/>
        <v>2.2186779999999739E-4</v>
      </c>
      <c r="J89">
        <f t="shared" si="11"/>
        <v>30</v>
      </c>
      <c r="K89">
        <f t="shared" si="12"/>
        <v>30</v>
      </c>
      <c r="R89">
        <f t="shared" si="13"/>
        <v>60</v>
      </c>
      <c r="S89">
        <f t="shared" si="14"/>
        <v>60</v>
      </c>
      <c r="V89">
        <f t="shared" si="15"/>
        <v>2.2186779999999739E-4</v>
      </c>
    </row>
    <row r="90" spans="1:22" x14ac:dyDescent="0.35">
      <c r="A90" t="s">
        <v>90</v>
      </c>
      <c r="B90">
        <v>-9.4388894199999906E-2</v>
      </c>
      <c r="C90">
        <v>-2.957850894E-3</v>
      </c>
      <c r="D90">
        <v>2.1907800000000002E-2</v>
      </c>
      <c r="E90">
        <v>-4.98615E-3</v>
      </c>
      <c r="F90" t="s">
        <v>101</v>
      </c>
      <c r="G90">
        <f t="shared" si="8"/>
        <v>-9.1431043305999909E-2</v>
      </c>
      <c r="H90">
        <f t="shared" si="9"/>
        <v>-2.957850893999997E-3</v>
      </c>
      <c r="I90">
        <f t="shared" si="10"/>
        <v>2.957850893999997E-3</v>
      </c>
      <c r="J90">
        <f t="shared" si="11"/>
        <v>75</v>
      </c>
      <c r="K90">
        <f t="shared" si="12"/>
        <v>-75</v>
      </c>
      <c r="R90">
        <f t="shared" si="13"/>
        <v>141</v>
      </c>
      <c r="S90">
        <f t="shared" si="14"/>
        <v>-141</v>
      </c>
      <c r="V90">
        <f t="shared" si="15"/>
        <v>2.957850893999997E-3</v>
      </c>
    </row>
    <row r="91" spans="1:22" x14ac:dyDescent="0.35">
      <c r="A91" t="s">
        <v>91</v>
      </c>
      <c r="B91">
        <v>-0.82107919500000004</v>
      </c>
      <c r="C91">
        <v>0</v>
      </c>
      <c r="D91">
        <v>-1.1103700000000001</v>
      </c>
      <c r="E91">
        <v>0</v>
      </c>
      <c r="F91" t="s">
        <v>101</v>
      </c>
      <c r="G91">
        <f t="shared" si="8"/>
        <v>-0.82107919500000004</v>
      </c>
      <c r="H91">
        <f t="shared" si="9"/>
        <v>0</v>
      </c>
      <c r="I91">
        <f t="shared" si="10"/>
        <v>0</v>
      </c>
      <c r="J91" t="str">
        <f t="shared" si="11"/>
        <v/>
      </c>
      <c r="K91" t="e">
        <f t="shared" si="12"/>
        <v>#VALUE!</v>
      </c>
      <c r="R91" t="str">
        <f t="shared" si="13"/>
        <v/>
      </c>
      <c r="S91" t="e">
        <f t="shared" si="14"/>
        <v>#VALUE!</v>
      </c>
      <c r="V91" t="str">
        <f t="shared" si="15"/>
        <v/>
      </c>
    </row>
    <row r="92" spans="1:22" x14ac:dyDescent="0.35">
      <c r="A92" t="s">
        <v>92</v>
      </c>
      <c r="B92">
        <v>3.6344758999999997E-2</v>
      </c>
      <c r="C92">
        <v>1.3924127460000001E-4</v>
      </c>
      <c r="D92">
        <v>0.83766700000000005</v>
      </c>
      <c r="E92">
        <v>4.09436E-4</v>
      </c>
      <c r="F92" t="s">
        <v>101</v>
      </c>
      <c r="G92">
        <f t="shared" si="8"/>
        <v>3.6205517725399997E-2</v>
      </c>
      <c r="H92">
        <f t="shared" si="9"/>
        <v>1.3924127460000074E-4</v>
      </c>
      <c r="I92">
        <f t="shared" si="10"/>
        <v>1.3924127460000074E-4</v>
      </c>
      <c r="J92">
        <f t="shared" si="11"/>
        <v>19</v>
      </c>
      <c r="K92">
        <f t="shared" si="12"/>
        <v>19</v>
      </c>
      <c r="R92">
        <f t="shared" si="13"/>
        <v>38</v>
      </c>
      <c r="S92">
        <f t="shared" si="14"/>
        <v>38</v>
      </c>
      <c r="V92">
        <f t="shared" si="15"/>
        <v>1.3924127460000074E-4</v>
      </c>
    </row>
    <row r="93" spans="1:22" x14ac:dyDescent="0.35">
      <c r="A93" t="s">
        <v>93</v>
      </c>
      <c r="B93">
        <v>-0.62156271372000005</v>
      </c>
      <c r="C93">
        <v>-3.018549808E-3</v>
      </c>
      <c r="D93">
        <v>-1.1402000000000001</v>
      </c>
      <c r="E93">
        <v>-5.5359600000000004E-3</v>
      </c>
      <c r="F93" t="s">
        <v>101</v>
      </c>
      <c r="G93">
        <f t="shared" si="8"/>
        <v>-0.61854416391200007</v>
      </c>
      <c r="H93">
        <f t="shared" si="9"/>
        <v>-3.0185498079999817E-3</v>
      </c>
      <c r="I93">
        <f t="shared" si="10"/>
        <v>3.0185498079999817E-3</v>
      </c>
      <c r="J93">
        <f t="shared" si="11"/>
        <v>77</v>
      </c>
      <c r="K93">
        <f t="shared" si="12"/>
        <v>-77</v>
      </c>
      <c r="R93">
        <f t="shared" si="13"/>
        <v>144</v>
      </c>
      <c r="S93">
        <f t="shared" si="14"/>
        <v>-144</v>
      </c>
      <c r="V93">
        <f t="shared" si="15"/>
        <v>3.0185498079999817E-3</v>
      </c>
    </row>
    <row r="94" spans="1:22" x14ac:dyDescent="0.35">
      <c r="A94" t="s">
        <v>94</v>
      </c>
      <c r="B94">
        <v>0.44388849200000002</v>
      </c>
      <c r="C94">
        <v>3.480103935E-4</v>
      </c>
      <c r="D94">
        <v>0.87014199999999997</v>
      </c>
      <c r="E94">
        <v>5.3412499999999999E-4</v>
      </c>
      <c r="F94" t="s">
        <v>101</v>
      </c>
      <c r="G94">
        <f t="shared" si="8"/>
        <v>0.4435404816065</v>
      </c>
      <c r="H94">
        <f t="shared" si="9"/>
        <v>3.4801039350002005E-4</v>
      </c>
      <c r="I94">
        <f t="shared" si="10"/>
        <v>3.4801039350002005E-4</v>
      </c>
      <c r="J94">
        <f t="shared" si="11"/>
        <v>38</v>
      </c>
      <c r="K94">
        <f t="shared" si="12"/>
        <v>38</v>
      </c>
      <c r="R94">
        <f t="shared" si="13"/>
        <v>80</v>
      </c>
      <c r="S94">
        <f t="shared" si="14"/>
        <v>80</v>
      </c>
      <c r="V94">
        <f t="shared" si="15"/>
        <v>3.4801039350002005E-4</v>
      </c>
    </row>
    <row r="95" spans="1:22" x14ac:dyDescent="0.35">
      <c r="A95" t="s">
        <v>95</v>
      </c>
      <c r="B95">
        <v>0.547100908</v>
      </c>
      <c r="C95">
        <v>-3.0780646264000002E-3</v>
      </c>
      <c r="D95">
        <v>0.53953399999999996</v>
      </c>
      <c r="E95">
        <v>-5.60204E-3</v>
      </c>
      <c r="F95" t="s">
        <v>101</v>
      </c>
      <c r="G95">
        <f t="shared" si="8"/>
        <v>0.55017897262640003</v>
      </c>
      <c r="H95">
        <f t="shared" si="9"/>
        <v>-3.0780646264000344E-3</v>
      </c>
      <c r="I95">
        <f t="shared" si="10"/>
        <v>3.0780646264000344E-3</v>
      </c>
      <c r="J95">
        <f t="shared" si="11"/>
        <v>80</v>
      </c>
      <c r="K95">
        <f t="shared" si="12"/>
        <v>-80</v>
      </c>
      <c r="R95">
        <f t="shared" si="13"/>
        <v>147</v>
      </c>
      <c r="S95">
        <f t="shared" si="14"/>
        <v>-147</v>
      </c>
      <c r="V95">
        <f t="shared" si="15"/>
        <v>3.0780646264000344E-3</v>
      </c>
    </row>
    <row r="96" spans="1:22" x14ac:dyDescent="0.35">
      <c r="A96" t="s">
        <v>96</v>
      </c>
      <c r="B96">
        <v>-0.12762642499999999</v>
      </c>
      <c r="C96" s="1">
        <v>5.54320649E-5</v>
      </c>
      <c r="D96">
        <v>-0.22012899999999999</v>
      </c>
      <c r="E96" s="1">
        <v>-1.02841E-5</v>
      </c>
      <c r="F96" t="s">
        <v>101</v>
      </c>
      <c r="G96">
        <f t="shared" si="8"/>
        <v>-0.12768185706489998</v>
      </c>
      <c r="H96">
        <f t="shared" si="9"/>
        <v>5.5432064899996192E-5</v>
      </c>
      <c r="I96">
        <f t="shared" si="10"/>
        <v>5.5432064899996192E-5</v>
      </c>
      <c r="J96">
        <f t="shared" si="11"/>
        <v>7.5</v>
      </c>
      <c r="K96">
        <f t="shared" si="12"/>
        <v>7.5</v>
      </c>
      <c r="R96">
        <f t="shared" si="13"/>
        <v>12.5</v>
      </c>
      <c r="S96">
        <f t="shared" si="14"/>
        <v>12.5</v>
      </c>
      <c r="V96">
        <f t="shared" si="15"/>
        <v>5.5432064899996192E-5</v>
      </c>
    </row>
    <row r="97" spans="1:22" x14ac:dyDescent="0.35">
      <c r="A97" t="s">
        <v>97</v>
      </c>
      <c r="B97">
        <v>-0.18905514043999999</v>
      </c>
      <c r="C97" s="1">
        <v>5.54320649E-5</v>
      </c>
      <c r="D97">
        <v>-4.4690399999999996E-3</v>
      </c>
      <c r="E97" s="1">
        <v>-1.02841E-5</v>
      </c>
      <c r="F97" t="s">
        <v>101</v>
      </c>
      <c r="G97">
        <f t="shared" si="8"/>
        <v>-0.18911057250489999</v>
      </c>
      <c r="H97">
        <f t="shared" si="9"/>
        <v>5.5432064899996192E-5</v>
      </c>
      <c r="I97">
        <f t="shared" si="10"/>
        <v>5.5432064899996192E-5</v>
      </c>
      <c r="J97">
        <f>IF(V97="","",_xlfn.RANK.AVG(V97,$V$2:$V$97,1))</f>
        <v>7.5</v>
      </c>
      <c r="K97">
        <f t="shared" si="12"/>
        <v>7.5</v>
      </c>
      <c r="R97">
        <f t="shared" si="13"/>
        <v>12.5</v>
      </c>
      <c r="S97">
        <f t="shared" si="14"/>
        <v>12.5</v>
      </c>
      <c r="V97">
        <f t="shared" si="15"/>
        <v>5.5432064899996192E-5</v>
      </c>
    </row>
    <row r="98" spans="1:22" x14ac:dyDescent="0.35">
      <c r="A98" t="s">
        <v>102</v>
      </c>
      <c r="B98">
        <v>-0.17564616499999999</v>
      </c>
      <c r="C98">
        <v>-2.9560231815E-4</v>
      </c>
      <c r="D98">
        <v>-0.66076500000000005</v>
      </c>
      <c r="E98">
        <v>-5.2457100000000004E-4</v>
      </c>
      <c r="F98" t="s">
        <v>188</v>
      </c>
      <c r="G98">
        <f t="shared" si="8"/>
        <v>-0.17535056268184998</v>
      </c>
      <c r="H98">
        <f t="shared" si="9"/>
        <v>-2.9560231815001226E-4</v>
      </c>
      <c r="I98">
        <f t="shared" si="10"/>
        <v>2.9560231815001226E-4</v>
      </c>
      <c r="N98">
        <f>IF(V98="","",_xlfn.RANK.AVG(V98,$V$98:$V$183,1))</f>
        <v>40</v>
      </c>
      <c r="O98">
        <f>SIGN(H98)*N98</f>
        <v>-40</v>
      </c>
      <c r="P98">
        <f>SUMIF(O98:O183,"&gt;0",O98:O183)</f>
        <v>1648</v>
      </c>
      <c r="Q98">
        <f>ABS(SUMIF(O98:O183,"&lt;0",O98:O183))</f>
        <v>1838</v>
      </c>
      <c r="R98">
        <f t="shared" si="13"/>
        <v>72</v>
      </c>
      <c r="S98">
        <f t="shared" si="14"/>
        <v>-72</v>
      </c>
      <c r="V98">
        <f t="shared" si="15"/>
        <v>2.9560231815001226E-4</v>
      </c>
    </row>
    <row r="99" spans="1:22" x14ac:dyDescent="0.35">
      <c r="A99" t="s">
        <v>103</v>
      </c>
      <c r="B99">
        <v>-0.221007757</v>
      </c>
      <c r="C99">
        <v>1.75649208999999E-4</v>
      </c>
      <c r="D99">
        <v>-0.75704700000000003</v>
      </c>
      <c r="E99">
        <v>6.0561199999999995E-4</v>
      </c>
      <c r="F99" t="s">
        <v>188</v>
      </c>
      <c r="G99">
        <f t="shared" si="8"/>
        <v>-0.22118340620900001</v>
      </c>
      <c r="H99">
        <f t="shared" si="9"/>
        <v>1.7564920900001169E-4</v>
      </c>
      <c r="I99">
        <f t="shared" si="10"/>
        <v>1.7564920900001169E-4</v>
      </c>
      <c r="N99">
        <f t="shared" ref="N99:N162" si="16">IF(V99="","",_xlfn.RANK.AVG(V99,$V$98:$V$183,1))</f>
        <v>23</v>
      </c>
      <c r="O99">
        <f t="shared" ref="O99:O162" si="17">SIGN(H99)*N99</f>
        <v>23</v>
      </c>
      <c r="R99">
        <f t="shared" si="13"/>
        <v>47</v>
      </c>
      <c r="S99">
        <f t="shared" si="14"/>
        <v>47</v>
      </c>
      <c r="V99">
        <f t="shared" si="15"/>
        <v>1.7564920900001169E-4</v>
      </c>
    </row>
    <row r="100" spans="1:22" x14ac:dyDescent="0.35">
      <c r="A100" t="s">
        <v>104</v>
      </c>
      <c r="B100">
        <v>-0.64814422649999903</v>
      </c>
      <c r="C100" s="1">
        <v>5.54320649E-5</v>
      </c>
      <c r="D100">
        <v>-0.71307399999999999</v>
      </c>
      <c r="E100" s="1">
        <v>-1.02841E-5</v>
      </c>
      <c r="F100" t="s">
        <v>188</v>
      </c>
      <c r="G100">
        <f t="shared" si="8"/>
        <v>-0.64819965856489903</v>
      </c>
      <c r="H100">
        <f t="shared" si="9"/>
        <v>5.5432064899996192E-5</v>
      </c>
      <c r="I100">
        <f t="shared" si="10"/>
        <v>5.5432064899996192E-5</v>
      </c>
      <c r="N100">
        <f t="shared" si="16"/>
        <v>5.5</v>
      </c>
      <c r="O100">
        <f t="shared" si="17"/>
        <v>5.5</v>
      </c>
      <c r="R100">
        <f t="shared" si="13"/>
        <v>12.5</v>
      </c>
      <c r="S100">
        <f t="shared" si="14"/>
        <v>12.5</v>
      </c>
      <c r="V100">
        <f t="shared" si="15"/>
        <v>5.5432064899996192E-5</v>
      </c>
    </row>
    <row r="101" spans="1:22" x14ac:dyDescent="0.35">
      <c r="A101" t="s">
        <v>105</v>
      </c>
      <c r="B101">
        <v>-0.16091185399999999</v>
      </c>
      <c r="C101">
        <v>-2.9560057559999998E-3</v>
      </c>
      <c r="D101">
        <v>-0.45816800000000002</v>
      </c>
      <c r="E101">
        <v>-5.4897100000000001E-3</v>
      </c>
      <c r="F101" t="s">
        <v>188</v>
      </c>
      <c r="G101">
        <f t="shared" si="8"/>
        <v>-0.157955848244</v>
      </c>
      <c r="H101">
        <f t="shared" si="9"/>
        <v>-2.9560057559999964E-3</v>
      </c>
      <c r="I101">
        <f t="shared" si="10"/>
        <v>2.9560057559999964E-3</v>
      </c>
      <c r="N101">
        <f t="shared" si="16"/>
        <v>66</v>
      </c>
      <c r="O101">
        <f t="shared" si="17"/>
        <v>-66</v>
      </c>
      <c r="R101">
        <f t="shared" si="13"/>
        <v>140</v>
      </c>
      <c r="S101">
        <f t="shared" si="14"/>
        <v>-140</v>
      </c>
      <c r="V101">
        <f t="shared" si="15"/>
        <v>2.9560057559999964E-3</v>
      </c>
    </row>
    <row r="102" spans="1:22" x14ac:dyDescent="0.35">
      <c r="A102" t="s">
        <v>106</v>
      </c>
      <c r="B102">
        <v>-0.80865346799999904</v>
      </c>
      <c r="C102">
        <v>-3.3926908080000001E-3</v>
      </c>
      <c r="D102">
        <v>-1.30457</v>
      </c>
      <c r="E102">
        <v>-5.9201499999999999E-3</v>
      </c>
      <c r="F102" t="s">
        <v>188</v>
      </c>
      <c r="G102">
        <f t="shared" si="8"/>
        <v>-0.80526077719199907</v>
      </c>
      <c r="H102">
        <f t="shared" si="9"/>
        <v>-3.3926908079999762E-3</v>
      </c>
      <c r="I102">
        <f t="shared" si="10"/>
        <v>3.3926908079999762E-3</v>
      </c>
      <c r="N102">
        <f t="shared" si="16"/>
        <v>75</v>
      </c>
      <c r="O102">
        <f t="shared" si="17"/>
        <v>-75</v>
      </c>
      <c r="R102">
        <f t="shared" si="13"/>
        <v>165</v>
      </c>
      <c r="S102">
        <f t="shared" si="14"/>
        <v>-165</v>
      </c>
      <c r="V102">
        <f t="shared" si="15"/>
        <v>3.3926908079999762E-3</v>
      </c>
    </row>
    <row r="103" spans="1:22" x14ac:dyDescent="0.35">
      <c r="A103" t="s">
        <v>107</v>
      </c>
      <c r="B103">
        <v>-1.283298324</v>
      </c>
      <c r="C103" s="1">
        <v>-6.6625541499999998E-5</v>
      </c>
      <c r="D103">
        <v>-1.40178</v>
      </c>
      <c r="E103">
        <v>-1.2261300000000001E-4</v>
      </c>
      <c r="F103" t="s">
        <v>188</v>
      </c>
      <c r="G103">
        <f t="shared" si="8"/>
        <v>-1.2832316984584999</v>
      </c>
      <c r="H103">
        <f t="shared" si="9"/>
        <v>-6.6625541500053842E-5</v>
      </c>
      <c r="I103">
        <f t="shared" si="10"/>
        <v>6.6625541500053842E-5</v>
      </c>
      <c r="N103">
        <f t="shared" si="16"/>
        <v>8</v>
      </c>
      <c r="O103">
        <f t="shared" si="17"/>
        <v>-8</v>
      </c>
      <c r="R103">
        <f t="shared" si="13"/>
        <v>16</v>
      </c>
      <c r="S103">
        <f t="shared" si="14"/>
        <v>-16</v>
      </c>
      <c r="V103">
        <f t="shared" si="15"/>
        <v>6.6625541500053842E-5</v>
      </c>
    </row>
    <row r="104" spans="1:22" x14ac:dyDescent="0.35">
      <c r="A104" t="s">
        <v>108</v>
      </c>
      <c r="B104">
        <v>-0.49213098500000002</v>
      </c>
      <c r="C104">
        <v>-3.1677986910000002E-3</v>
      </c>
      <c r="D104">
        <v>-1.2969200000000001</v>
      </c>
      <c r="E104">
        <v>-5.5945600000000002E-3</v>
      </c>
      <c r="F104" t="s">
        <v>188</v>
      </c>
      <c r="G104">
        <f t="shared" si="8"/>
        <v>-0.48896318630900004</v>
      </c>
      <c r="H104">
        <f t="shared" si="9"/>
        <v>-3.1677986909999789E-3</v>
      </c>
      <c r="I104">
        <f t="shared" si="10"/>
        <v>3.1677986909999789E-3</v>
      </c>
      <c r="N104">
        <f t="shared" si="16"/>
        <v>71</v>
      </c>
      <c r="O104">
        <f t="shared" si="17"/>
        <v>-71</v>
      </c>
      <c r="R104">
        <f t="shared" si="13"/>
        <v>155</v>
      </c>
      <c r="S104">
        <f t="shared" si="14"/>
        <v>-155</v>
      </c>
      <c r="V104">
        <f t="shared" si="15"/>
        <v>3.1677986909999789E-3</v>
      </c>
    </row>
    <row r="105" spans="1:22" x14ac:dyDescent="0.35">
      <c r="A105" t="s">
        <v>109</v>
      </c>
      <c r="B105">
        <v>-1.0483963716</v>
      </c>
      <c r="C105">
        <v>4.04626026E-4</v>
      </c>
      <c r="D105">
        <v>-1.2740800000000001</v>
      </c>
      <c r="E105">
        <v>1.00757E-3</v>
      </c>
      <c r="F105" t="s">
        <v>188</v>
      </c>
      <c r="G105">
        <f t="shared" si="8"/>
        <v>-1.048800997626</v>
      </c>
      <c r="H105">
        <f t="shared" si="9"/>
        <v>4.0462602599999897E-4</v>
      </c>
      <c r="I105">
        <f t="shared" si="10"/>
        <v>4.0462602599999897E-4</v>
      </c>
      <c r="N105">
        <f t="shared" si="16"/>
        <v>46</v>
      </c>
      <c r="O105">
        <f t="shared" si="17"/>
        <v>46</v>
      </c>
      <c r="R105">
        <f t="shared" si="13"/>
        <v>87.5</v>
      </c>
      <c r="S105">
        <f t="shared" si="14"/>
        <v>87.5</v>
      </c>
      <c r="V105">
        <f t="shared" si="15"/>
        <v>4.0462602599999897E-4</v>
      </c>
    </row>
    <row r="106" spans="1:22" x14ac:dyDescent="0.35">
      <c r="A106" t="s">
        <v>110</v>
      </c>
      <c r="B106">
        <v>-0.74011347599999999</v>
      </c>
      <c r="C106">
        <v>6.0930950499999998E-4</v>
      </c>
      <c r="D106">
        <v>-0.92308800000000002</v>
      </c>
      <c r="E106">
        <v>1.0558900000000001E-3</v>
      </c>
      <c r="F106" t="s">
        <v>188</v>
      </c>
      <c r="G106">
        <f t="shared" si="8"/>
        <v>-0.74072278550500004</v>
      </c>
      <c r="H106">
        <f t="shared" si="9"/>
        <v>6.093095050000441E-4</v>
      </c>
      <c r="I106">
        <f t="shared" si="10"/>
        <v>6.093095050000441E-4</v>
      </c>
      <c r="N106">
        <f t="shared" si="16"/>
        <v>57</v>
      </c>
      <c r="O106">
        <f t="shared" si="17"/>
        <v>57</v>
      </c>
      <c r="R106">
        <f t="shared" si="13"/>
        <v>115</v>
      </c>
      <c r="S106">
        <f t="shared" si="14"/>
        <v>115</v>
      </c>
      <c r="V106">
        <f t="shared" si="15"/>
        <v>6.093095050000441E-4</v>
      </c>
    </row>
    <row r="107" spans="1:22" x14ac:dyDescent="0.35">
      <c r="A107" t="s">
        <v>111</v>
      </c>
      <c r="B107">
        <v>2.7338845699999999E-2</v>
      </c>
      <c r="C107">
        <v>-2.7895718898E-3</v>
      </c>
      <c r="D107">
        <v>4.9660700000000002E-2</v>
      </c>
      <c r="E107">
        <v>-5.1339999999999997E-3</v>
      </c>
      <c r="F107" t="s">
        <v>188</v>
      </c>
      <c r="G107">
        <f t="shared" si="8"/>
        <v>3.0128417589799998E-2</v>
      </c>
      <c r="H107">
        <f t="shared" si="9"/>
        <v>-2.7895718897999987E-3</v>
      </c>
      <c r="I107">
        <f t="shared" si="10"/>
        <v>2.7895718897999987E-3</v>
      </c>
      <c r="N107">
        <f t="shared" si="16"/>
        <v>64</v>
      </c>
      <c r="O107">
        <f t="shared" si="17"/>
        <v>-64</v>
      </c>
      <c r="R107">
        <f t="shared" si="13"/>
        <v>134</v>
      </c>
      <c r="S107">
        <f t="shared" si="14"/>
        <v>-134</v>
      </c>
      <c r="V107">
        <f t="shared" si="15"/>
        <v>2.7895718897999987E-3</v>
      </c>
    </row>
    <row r="108" spans="1:22" x14ac:dyDescent="0.35">
      <c r="A108" t="s">
        <v>112</v>
      </c>
      <c r="B108">
        <v>0.53871499270000001</v>
      </c>
      <c r="C108">
        <v>-3.482424883E-3</v>
      </c>
      <c r="D108">
        <v>2.32827E-2</v>
      </c>
      <c r="E108">
        <v>-5.9126700000000001E-3</v>
      </c>
      <c r="F108" t="s">
        <v>188</v>
      </c>
      <c r="G108">
        <f t="shared" si="8"/>
        <v>0.542197417583</v>
      </c>
      <c r="H108">
        <f t="shared" si="9"/>
        <v>-3.4824248829999904E-3</v>
      </c>
      <c r="I108">
        <f t="shared" si="10"/>
        <v>3.4824248829999904E-3</v>
      </c>
      <c r="N108">
        <f t="shared" si="16"/>
        <v>80</v>
      </c>
      <c r="O108">
        <f t="shared" si="17"/>
        <v>-80</v>
      </c>
      <c r="R108">
        <f t="shared" si="13"/>
        <v>172</v>
      </c>
      <c r="S108">
        <f t="shared" si="14"/>
        <v>-172</v>
      </c>
      <c r="V108">
        <f t="shared" si="15"/>
        <v>3.4824248829999904E-3</v>
      </c>
    </row>
    <row r="109" spans="1:22" x14ac:dyDescent="0.35">
      <c r="A109" t="s">
        <v>113</v>
      </c>
      <c r="B109">
        <v>0.77974797799999995</v>
      </c>
      <c r="C109" s="1">
        <v>7.8541584000000003E-5</v>
      </c>
      <c r="D109">
        <v>1.01566</v>
      </c>
      <c r="E109">
        <v>-1.40376E-4</v>
      </c>
      <c r="F109" t="s">
        <v>188</v>
      </c>
      <c r="G109">
        <f t="shared" si="8"/>
        <v>0.77966943641599995</v>
      </c>
      <c r="H109">
        <f t="shared" si="9"/>
        <v>7.8541584000002551E-5</v>
      </c>
      <c r="I109">
        <f t="shared" si="10"/>
        <v>7.8541584000002551E-5</v>
      </c>
      <c r="N109">
        <f t="shared" si="16"/>
        <v>9</v>
      </c>
      <c r="O109">
        <f t="shared" si="17"/>
        <v>9</v>
      </c>
      <c r="R109">
        <f t="shared" si="13"/>
        <v>19</v>
      </c>
      <c r="S109">
        <f t="shared" si="14"/>
        <v>19</v>
      </c>
      <c r="V109">
        <f t="shared" si="15"/>
        <v>7.8541584000002551E-5</v>
      </c>
    </row>
    <row r="110" spans="1:22" x14ac:dyDescent="0.35">
      <c r="A110" t="s">
        <v>114</v>
      </c>
      <c r="B110">
        <v>1.12113</v>
      </c>
      <c r="C110">
        <v>7.0022768599999996E-4</v>
      </c>
      <c r="D110">
        <v>1.04541</v>
      </c>
      <c r="E110">
        <v>1.53214E-3</v>
      </c>
      <c r="F110" t="s">
        <v>188</v>
      </c>
      <c r="G110">
        <f t="shared" si="8"/>
        <v>1.120429772314</v>
      </c>
      <c r="H110">
        <f t="shared" si="9"/>
        <v>7.0022768599997676E-4</v>
      </c>
      <c r="I110">
        <f t="shared" si="10"/>
        <v>7.0022768599997676E-4</v>
      </c>
      <c r="N110">
        <f t="shared" si="16"/>
        <v>61</v>
      </c>
      <c r="O110">
        <f t="shared" si="17"/>
        <v>61</v>
      </c>
      <c r="R110">
        <f t="shared" si="13"/>
        <v>123</v>
      </c>
      <c r="S110">
        <f t="shared" si="14"/>
        <v>123</v>
      </c>
      <c r="V110">
        <f t="shared" si="15"/>
        <v>7.0022768599997676E-4</v>
      </c>
    </row>
    <row r="111" spans="1:22" x14ac:dyDescent="0.35">
      <c r="A111" t="s">
        <v>115</v>
      </c>
      <c r="B111">
        <v>-0.77890147799999998</v>
      </c>
      <c r="C111">
        <v>6.3952764999999998E-4</v>
      </c>
      <c r="D111">
        <v>-0.24210200000000001</v>
      </c>
      <c r="E111">
        <v>9.8232799999999998E-4</v>
      </c>
      <c r="F111" t="s">
        <v>188</v>
      </c>
      <c r="G111">
        <f t="shared" si="8"/>
        <v>-0.77954100564999995</v>
      </c>
      <c r="H111">
        <f t="shared" si="9"/>
        <v>6.3952764999997136E-4</v>
      </c>
      <c r="I111">
        <f t="shared" si="10"/>
        <v>6.3952764999997136E-4</v>
      </c>
      <c r="N111">
        <f t="shared" si="16"/>
        <v>60</v>
      </c>
      <c r="O111">
        <f t="shared" si="17"/>
        <v>60</v>
      </c>
      <c r="R111">
        <f t="shared" si="13"/>
        <v>119.5</v>
      </c>
      <c r="S111">
        <f t="shared" si="14"/>
        <v>119.5</v>
      </c>
      <c r="V111">
        <f t="shared" si="15"/>
        <v>6.3952764999997136E-4</v>
      </c>
    </row>
    <row r="112" spans="1:22" x14ac:dyDescent="0.35">
      <c r="A112" t="s">
        <v>116</v>
      </c>
      <c r="B112">
        <v>0.44771682149999997</v>
      </c>
      <c r="C112">
        <v>1.451674286E-4</v>
      </c>
      <c r="D112">
        <v>0.73457700000000004</v>
      </c>
      <c r="E112" s="1">
        <v>-1.7762400000000001E-5</v>
      </c>
      <c r="F112" t="s">
        <v>188</v>
      </c>
      <c r="G112">
        <f t="shared" si="8"/>
        <v>0.44757165407139998</v>
      </c>
      <c r="H112">
        <f t="shared" si="9"/>
        <v>1.4516742859999043E-4</v>
      </c>
      <c r="I112">
        <f t="shared" si="10"/>
        <v>1.4516742859999043E-4</v>
      </c>
      <c r="N112">
        <f t="shared" si="16"/>
        <v>21</v>
      </c>
      <c r="O112">
        <f t="shared" si="17"/>
        <v>21</v>
      </c>
      <c r="R112">
        <f t="shared" si="13"/>
        <v>41</v>
      </c>
      <c r="S112">
        <f t="shared" si="14"/>
        <v>41</v>
      </c>
      <c r="V112">
        <f t="shared" si="15"/>
        <v>1.4516742859999043E-4</v>
      </c>
    </row>
    <row r="113" spans="1:22" x14ac:dyDescent="0.35">
      <c r="A113" t="s">
        <v>117</v>
      </c>
      <c r="B113">
        <v>-0.56697114449999997</v>
      </c>
      <c r="C113" s="1">
        <v>-3.02182638E-5</v>
      </c>
      <c r="D113">
        <v>-0.96252400000000005</v>
      </c>
      <c r="E113" s="1">
        <v>7.3562199999999998E-5</v>
      </c>
      <c r="F113" t="s">
        <v>188</v>
      </c>
      <c r="G113">
        <f t="shared" si="8"/>
        <v>-0.56694092623619996</v>
      </c>
      <c r="H113">
        <f t="shared" si="9"/>
        <v>-3.0218263800008138E-5</v>
      </c>
      <c r="I113">
        <f t="shared" si="10"/>
        <v>3.0218263800008138E-5</v>
      </c>
      <c r="N113">
        <f t="shared" si="16"/>
        <v>3.5</v>
      </c>
      <c r="O113">
        <f t="shared" si="17"/>
        <v>-3.5</v>
      </c>
      <c r="R113">
        <f t="shared" si="13"/>
        <v>7.5</v>
      </c>
      <c r="S113">
        <f t="shared" si="14"/>
        <v>-7.5</v>
      </c>
      <c r="V113">
        <f t="shared" si="15"/>
        <v>3.0218263800008138E-5</v>
      </c>
    </row>
    <row r="114" spans="1:22" x14ac:dyDescent="0.35">
      <c r="A114" t="s">
        <v>118</v>
      </c>
      <c r="B114">
        <v>-0.35731724999999998</v>
      </c>
      <c r="C114">
        <v>1.16132157E-4</v>
      </c>
      <c r="D114">
        <v>-0.57110799999999995</v>
      </c>
      <c r="E114">
        <v>5.3952799999999995E-4</v>
      </c>
      <c r="F114" t="s">
        <v>188</v>
      </c>
      <c r="G114">
        <f t="shared" si="8"/>
        <v>-0.35743338215699999</v>
      </c>
      <c r="H114">
        <f t="shared" si="9"/>
        <v>1.1613215700001511E-4</v>
      </c>
      <c r="I114">
        <f t="shared" si="10"/>
        <v>1.1613215700001511E-4</v>
      </c>
      <c r="N114">
        <f t="shared" si="16"/>
        <v>15</v>
      </c>
      <c r="O114">
        <f t="shared" si="17"/>
        <v>15</v>
      </c>
      <c r="R114">
        <f t="shared" si="13"/>
        <v>31</v>
      </c>
      <c r="S114">
        <f t="shared" si="14"/>
        <v>31</v>
      </c>
      <c r="V114">
        <f t="shared" si="15"/>
        <v>1.1613215700001511E-4</v>
      </c>
    </row>
    <row r="115" spans="1:22" x14ac:dyDescent="0.35">
      <c r="A115" t="s">
        <v>119</v>
      </c>
      <c r="B115">
        <v>-4.46645721000002E-3</v>
      </c>
      <c r="C115">
        <v>-3.5129098050000001E-3</v>
      </c>
      <c r="D115">
        <v>-0.13219600000000001</v>
      </c>
      <c r="E115">
        <v>-6.5360499999999998E-3</v>
      </c>
      <c r="F115" t="s">
        <v>188</v>
      </c>
      <c r="G115">
        <f t="shared" si="8"/>
        <v>-9.5354740500001997E-4</v>
      </c>
      <c r="H115">
        <f t="shared" si="9"/>
        <v>-3.5129098050000001E-3</v>
      </c>
      <c r="I115">
        <f t="shared" si="10"/>
        <v>3.5129098050000001E-3</v>
      </c>
      <c r="N115">
        <f t="shared" si="16"/>
        <v>81</v>
      </c>
      <c r="O115">
        <f t="shared" si="17"/>
        <v>-81</v>
      </c>
      <c r="R115">
        <f t="shared" si="13"/>
        <v>173</v>
      </c>
      <c r="S115">
        <f t="shared" si="14"/>
        <v>-173</v>
      </c>
      <c r="V115">
        <f t="shared" si="15"/>
        <v>3.5129098050000001E-3</v>
      </c>
    </row>
    <row r="116" spans="1:22" x14ac:dyDescent="0.35">
      <c r="A116" t="s">
        <v>120</v>
      </c>
      <c r="B116">
        <v>1.2155495329999999</v>
      </c>
      <c r="C116" s="1">
        <v>-5.2665800000000398E-6</v>
      </c>
      <c r="D116">
        <v>0.89480300000000002</v>
      </c>
      <c r="E116">
        <v>-5.6009500000000004E-4</v>
      </c>
      <c r="F116" t="s">
        <v>188</v>
      </c>
      <c r="G116">
        <f t="shared" si="8"/>
        <v>1.21555479958</v>
      </c>
      <c r="H116">
        <f t="shared" si="9"/>
        <v>-5.2665800001072682E-6</v>
      </c>
      <c r="I116">
        <f t="shared" si="10"/>
        <v>5.2665800001072682E-6</v>
      </c>
      <c r="N116">
        <f t="shared" si="16"/>
        <v>1</v>
      </c>
      <c r="O116">
        <f t="shared" si="17"/>
        <v>-1</v>
      </c>
      <c r="R116">
        <f t="shared" si="13"/>
        <v>1</v>
      </c>
      <c r="S116">
        <f t="shared" si="14"/>
        <v>-1</v>
      </c>
      <c r="V116">
        <f t="shared" si="15"/>
        <v>5.2665800001072682E-6</v>
      </c>
    </row>
    <row r="117" spans="1:22" x14ac:dyDescent="0.35">
      <c r="A117" t="s">
        <v>121</v>
      </c>
      <c r="B117">
        <v>-5.0832361999999999E-2</v>
      </c>
      <c r="C117">
        <v>1.3397413359999999E-4</v>
      </c>
      <c r="D117">
        <v>-0.60098300000000004</v>
      </c>
      <c r="E117">
        <v>-1.5066E-4</v>
      </c>
      <c r="F117" t="s">
        <v>188</v>
      </c>
      <c r="G117">
        <f t="shared" si="8"/>
        <v>-5.09663361336E-2</v>
      </c>
      <c r="H117">
        <f t="shared" si="9"/>
        <v>1.339741336000011E-4</v>
      </c>
      <c r="I117">
        <f t="shared" si="10"/>
        <v>1.339741336000011E-4</v>
      </c>
      <c r="N117">
        <f t="shared" si="16"/>
        <v>18</v>
      </c>
      <c r="O117">
        <f t="shared" si="17"/>
        <v>18</v>
      </c>
      <c r="R117">
        <f t="shared" si="13"/>
        <v>34</v>
      </c>
      <c r="S117">
        <f t="shared" si="14"/>
        <v>34</v>
      </c>
      <c r="V117">
        <f t="shared" si="15"/>
        <v>1.339741336000011E-4</v>
      </c>
    </row>
    <row r="118" spans="1:22" x14ac:dyDescent="0.35">
      <c r="A118" t="s">
        <v>122</v>
      </c>
      <c r="B118">
        <v>1.2384394699999901</v>
      </c>
      <c r="C118">
        <v>-3.7478073799999999E-3</v>
      </c>
      <c r="D118">
        <v>1.1933499999999999</v>
      </c>
      <c r="E118">
        <v>-6.5107999999999997E-3</v>
      </c>
      <c r="F118" t="s">
        <v>188</v>
      </c>
      <c r="G118">
        <f t="shared" si="8"/>
        <v>1.24218727737999</v>
      </c>
      <c r="H118">
        <f t="shared" si="9"/>
        <v>-3.7478073799999123E-3</v>
      </c>
      <c r="I118">
        <f t="shared" si="10"/>
        <v>3.7478073799999123E-3</v>
      </c>
      <c r="N118">
        <f t="shared" si="16"/>
        <v>83</v>
      </c>
      <c r="O118">
        <f t="shared" si="17"/>
        <v>-83</v>
      </c>
      <c r="R118">
        <f t="shared" si="13"/>
        <v>176</v>
      </c>
      <c r="S118">
        <f t="shared" si="14"/>
        <v>-176</v>
      </c>
      <c r="V118">
        <f t="shared" si="15"/>
        <v>3.7478073799999123E-3</v>
      </c>
    </row>
    <row r="119" spans="1:22" x14ac:dyDescent="0.35">
      <c r="A119" t="s">
        <v>123</v>
      </c>
      <c r="B119">
        <v>-1.078195448</v>
      </c>
      <c r="C119">
        <v>2.8849333109999997E-4</v>
      </c>
      <c r="D119">
        <v>-0.79430000000000001</v>
      </c>
      <c r="E119">
        <v>4.6804099999999999E-4</v>
      </c>
      <c r="F119" t="s">
        <v>188</v>
      </c>
      <c r="G119">
        <f t="shared" si="8"/>
        <v>-1.0784839413311</v>
      </c>
      <c r="H119">
        <f t="shared" si="9"/>
        <v>2.8849333110003705E-4</v>
      </c>
      <c r="I119">
        <f t="shared" si="10"/>
        <v>2.8849333110003705E-4</v>
      </c>
      <c r="N119">
        <f t="shared" si="16"/>
        <v>37.5</v>
      </c>
      <c r="O119">
        <f t="shared" si="17"/>
        <v>37.5</v>
      </c>
      <c r="R119">
        <f t="shared" si="13"/>
        <v>69.5</v>
      </c>
      <c r="S119">
        <f t="shared" si="14"/>
        <v>69.5</v>
      </c>
      <c r="V119">
        <f t="shared" si="15"/>
        <v>2.8849333110003705E-4</v>
      </c>
    </row>
    <row r="120" spans="1:22" x14ac:dyDescent="0.35">
      <c r="A120" t="s">
        <v>124</v>
      </c>
      <c r="B120">
        <v>-9.1780820000000093E-3</v>
      </c>
      <c r="C120">
        <v>-1.80652943999999E-4</v>
      </c>
      <c r="D120">
        <v>-1.0468200000000001</v>
      </c>
      <c r="E120">
        <v>-4.6877099999999999E-4</v>
      </c>
      <c r="F120" t="s">
        <v>188</v>
      </c>
      <c r="G120">
        <f t="shared" si="8"/>
        <v>-8.9974290560000097E-3</v>
      </c>
      <c r="H120">
        <f t="shared" si="9"/>
        <v>-1.8065294399999959E-4</v>
      </c>
      <c r="I120">
        <f t="shared" si="10"/>
        <v>1.8065294399999959E-4</v>
      </c>
      <c r="N120">
        <f t="shared" si="16"/>
        <v>24</v>
      </c>
      <c r="O120">
        <f t="shared" si="17"/>
        <v>-24</v>
      </c>
      <c r="R120">
        <f t="shared" si="13"/>
        <v>48</v>
      </c>
      <c r="S120">
        <f t="shared" si="14"/>
        <v>-48</v>
      </c>
      <c r="V120">
        <f t="shared" si="15"/>
        <v>1.8065294399999959E-4</v>
      </c>
    </row>
    <row r="121" spans="1:22" x14ac:dyDescent="0.35">
      <c r="A121" t="s">
        <v>125</v>
      </c>
      <c r="B121">
        <v>0.30121387519999998</v>
      </c>
      <c r="C121">
        <v>3.2490023199999998E-4</v>
      </c>
      <c r="D121">
        <v>-3.3751799999999998E-2</v>
      </c>
      <c r="E121">
        <v>6.6421600000000003E-4</v>
      </c>
      <c r="F121" t="s">
        <v>188</v>
      </c>
      <c r="G121">
        <f t="shared" si="8"/>
        <v>0.30088897496799999</v>
      </c>
      <c r="H121">
        <f t="shared" si="9"/>
        <v>3.2490023199999163E-4</v>
      </c>
      <c r="I121">
        <f t="shared" si="10"/>
        <v>3.2490023199999163E-4</v>
      </c>
      <c r="N121">
        <f t="shared" si="16"/>
        <v>41</v>
      </c>
      <c r="O121">
        <f t="shared" si="17"/>
        <v>41</v>
      </c>
      <c r="R121">
        <f t="shared" si="13"/>
        <v>75</v>
      </c>
      <c r="S121">
        <f t="shared" si="14"/>
        <v>75</v>
      </c>
      <c r="V121">
        <f t="shared" si="15"/>
        <v>3.2490023199999163E-4</v>
      </c>
    </row>
    <row r="122" spans="1:22" x14ac:dyDescent="0.35">
      <c r="A122" t="s">
        <v>126</v>
      </c>
      <c r="B122">
        <v>0.33508228800000001</v>
      </c>
      <c r="C122">
        <v>2.5419145799999998E-4</v>
      </c>
      <c r="D122">
        <v>1.3261700000000001</v>
      </c>
      <c r="E122">
        <v>4.6523700000000002E-4</v>
      </c>
      <c r="F122" t="s">
        <v>188</v>
      </c>
      <c r="G122">
        <f t="shared" si="8"/>
        <v>0.33482809654200002</v>
      </c>
      <c r="H122">
        <f t="shared" si="9"/>
        <v>2.5419145799998599E-4</v>
      </c>
      <c r="I122">
        <f t="shared" si="10"/>
        <v>2.5419145799998599E-4</v>
      </c>
      <c r="N122">
        <f t="shared" si="16"/>
        <v>32.5</v>
      </c>
      <c r="O122">
        <f t="shared" si="17"/>
        <v>32.5</v>
      </c>
      <c r="R122">
        <f t="shared" si="13"/>
        <v>62.5</v>
      </c>
      <c r="S122">
        <f t="shared" si="14"/>
        <v>62.5</v>
      </c>
      <c r="V122">
        <f t="shared" si="15"/>
        <v>2.5419145799998599E-4</v>
      </c>
    </row>
    <row r="123" spans="1:22" x14ac:dyDescent="0.35">
      <c r="A123" t="s">
        <v>127</v>
      </c>
      <c r="B123">
        <v>-2.8967906480000001</v>
      </c>
      <c r="C123">
        <v>2.8440836660000002E-4</v>
      </c>
      <c r="D123">
        <v>-2.82701</v>
      </c>
      <c r="E123">
        <v>3.9167299999999999E-4</v>
      </c>
      <c r="F123" t="s">
        <v>188</v>
      </c>
      <c r="G123">
        <f t="shared" si="8"/>
        <v>-2.8970750563665999</v>
      </c>
      <c r="H123">
        <f t="shared" si="9"/>
        <v>2.8440836659981983E-4</v>
      </c>
      <c r="I123">
        <f t="shared" si="10"/>
        <v>2.8440836659981983E-4</v>
      </c>
      <c r="N123">
        <f t="shared" si="16"/>
        <v>36</v>
      </c>
      <c r="O123">
        <f t="shared" si="17"/>
        <v>36</v>
      </c>
      <c r="R123">
        <f t="shared" si="13"/>
        <v>68</v>
      </c>
      <c r="S123">
        <f t="shared" si="14"/>
        <v>68</v>
      </c>
      <c r="V123">
        <f t="shared" si="15"/>
        <v>2.8440836659981983E-4</v>
      </c>
    </row>
    <row r="124" spans="1:22" x14ac:dyDescent="0.35">
      <c r="A124" t="s">
        <v>128</v>
      </c>
      <c r="B124">
        <v>-0.51441600099999996</v>
      </c>
      <c r="C124">
        <v>-2.8126821189999999E-3</v>
      </c>
      <c r="D124">
        <v>-0.56887799999999999</v>
      </c>
      <c r="E124">
        <v>-5.0039100000000003E-3</v>
      </c>
      <c r="F124" t="s">
        <v>188</v>
      </c>
      <c r="G124">
        <f t="shared" si="8"/>
        <v>-0.51160331888099997</v>
      </c>
      <c r="H124">
        <f t="shared" si="9"/>
        <v>-2.8126821189999873E-3</v>
      </c>
      <c r="I124">
        <f t="shared" si="10"/>
        <v>2.8126821189999873E-3</v>
      </c>
      <c r="N124">
        <f t="shared" si="16"/>
        <v>65</v>
      </c>
      <c r="O124">
        <f t="shared" si="17"/>
        <v>-65</v>
      </c>
      <c r="R124">
        <f t="shared" si="13"/>
        <v>135</v>
      </c>
      <c r="S124">
        <f t="shared" si="14"/>
        <v>-135</v>
      </c>
      <c r="V124">
        <f t="shared" si="15"/>
        <v>2.8126821189999873E-3</v>
      </c>
    </row>
    <row r="125" spans="1:22" x14ac:dyDescent="0.35">
      <c r="A125" t="s">
        <v>129</v>
      </c>
      <c r="B125">
        <v>-0.25617362719999998</v>
      </c>
      <c r="C125">
        <v>1.3924127460000001E-4</v>
      </c>
      <c r="D125">
        <v>-0.21324100000000001</v>
      </c>
      <c r="E125">
        <v>4.09436E-4</v>
      </c>
      <c r="F125" t="s">
        <v>188</v>
      </c>
      <c r="G125">
        <f t="shared" si="8"/>
        <v>-0.2563128684746</v>
      </c>
      <c r="H125">
        <f t="shared" si="9"/>
        <v>1.3924127460002156E-4</v>
      </c>
      <c r="I125">
        <f t="shared" si="10"/>
        <v>1.3924127460002156E-4</v>
      </c>
      <c r="N125">
        <f t="shared" si="16"/>
        <v>20</v>
      </c>
      <c r="O125">
        <f t="shared" si="17"/>
        <v>20</v>
      </c>
      <c r="R125">
        <f t="shared" si="13"/>
        <v>39</v>
      </c>
      <c r="S125">
        <f t="shared" si="14"/>
        <v>39</v>
      </c>
      <c r="V125">
        <f t="shared" si="15"/>
        <v>1.3924127460002156E-4</v>
      </c>
    </row>
    <row r="126" spans="1:22" x14ac:dyDescent="0.35">
      <c r="A126" t="s">
        <v>130</v>
      </c>
      <c r="B126">
        <v>-0.7785153708</v>
      </c>
      <c r="C126">
        <v>7.5974238999999995E-4</v>
      </c>
      <c r="D126">
        <v>-1.24525</v>
      </c>
      <c r="E126">
        <v>1.59822E-3</v>
      </c>
      <c r="F126" t="s">
        <v>188</v>
      </c>
      <c r="G126">
        <f t="shared" si="8"/>
        <v>-0.77927511318999998</v>
      </c>
      <c r="H126">
        <f t="shared" si="9"/>
        <v>7.5974238999998445E-4</v>
      </c>
      <c r="I126">
        <f t="shared" si="10"/>
        <v>7.5974238999998445E-4</v>
      </c>
      <c r="N126">
        <f t="shared" si="16"/>
        <v>62</v>
      </c>
      <c r="O126">
        <f t="shared" si="17"/>
        <v>62</v>
      </c>
      <c r="R126">
        <f t="shared" si="13"/>
        <v>127</v>
      </c>
      <c r="S126">
        <f t="shared" si="14"/>
        <v>127</v>
      </c>
      <c r="V126">
        <f t="shared" si="15"/>
        <v>7.5974238999998445E-4</v>
      </c>
    </row>
    <row r="127" spans="1:22" x14ac:dyDescent="0.35">
      <c r="A127" t="s">
        <v>131</v>
      </c>
      <c r="B127">
        <v>-0.15663137799999999</v>
      </c>
      <c r="C127" s="1">
        <v>-3.02182638E-5</v>
      </c>
      <c r="D127">
        <v>-0.299819</v>
      </c>
      <c r="E127" s="1">
        <v>7.3562199999999998E-5</v>
      </c>
      <c r="F127" t="s">
        <v>188</v>
      </c>
      <c r="G127">
        <f t="shared" si="8"/>
        <v>-0.15660115973619998</v>
      </c>
      <c r="H127">
        <f t="shared" si="9"/>
        <v>-3.0218263800008138E-5</v>
      </c>
      <c r="I127">
        <f t="shared" si="10"/>
        <v>3.0218263800008138E-5</v>
      </c>
      <c r="N127">
        <f t="shared" si="16"/>
        <v>3.5</v>
      </c>
      <c r="O127">
        <f t="shared" si="17"/>
        <v>-3.5</v>
      </c>
      <c r="R127">
        <f t="shared" si="13"/>
        <v>7.5</v>
      </c>
      <c r="S127">
        <f t="shared" si="14"/>
        <v>-7.5</v>
      </c>
      <c r="V127">
        <f t="shared" si="15"/>
        <v>3.0218263800008138E-5</v>
      </c>
    </row>
    <row r="128" spans="1:22" x14ac:dyDescent="0.35">
      <c r="A128" t="s">
        <v>132</v>
      </c>
      <c r="B128">
        <v>-0.27252474640000002</v>
      </c>
      <c r="C128">
        <v>-3.45220572E-3</v>
      </c>
      <c r="D128">
        <v>-4.10424E-2</v>
      </c>
      <c r="E128">
        <v>-5.9862300000000004E-3</v>
      </c>
      <c r="F128" t="s">
        <v>188</v>
      </c>
      <c r="G128">
        <f t="shared" si="8"/>
        <v>-0.26907254068000003</v>
      </c>
      <c r="H128">
        <f t="shared" si="9"/>
        <v>-3.45220571999999E-3</v>
      </c>
      <c r="I128">
        <f t="shared" si="10"/>
        <v>3.45220571999999E-3</v>
      </c>
      <c r="N128">
        <f t="shared" si="16"/>
        <v>76.5</v>
      </c>
      <c r="O128">
        <f t="shared" si="17"/>
        <v>-76.5</v>
      </c>
      <c r="R128">
        <f t="shared" si="13"/>
        <v>166.5</v>
      </c>
      <c r="S128">
        <f t="shared" si="14"/>
        <v>-166.5</v>
      </c>
      <c r="V128">
        <f t="shared" si="15"/>
        <v>3.45220571999999E-3</v>
      </c>
    </row>
    <row r="129" spans="1:22" x14ac:dyDescent="0.35">
      <c r="A129" t="s">
        <v>133</v>
      </c>
      <c r="B129">
        <v>-0.46480871200000001</v>
      </c>
      <c r="C129">
        <v>3.51034342E-4</v>
      </c>
      <c r="D129">
        <v>-0.10227600000000001</v>
      </c>
      <c r="E129">
        <v>5.1428699999999999E-4</v>
      </c>
      <c r="F129" t="s">
        <v>188</v>
      </c>
      <c r="G129">
        <f t="shared" si="8"/>
        <v>-0.46515974634200002</v>
      </c>
      <c r="H129">
        <f t="shared" si="9"/>
        <v>3.5103434200001171E-4</v>
      </c>
      <c r="I129">
        <f t="shared" si="10"/>
        <v>3.5103434200001171E-4</v>
      </c>
      <c r="N129">
        <f t="shared" si="16"/>
        <v>43.5</v>
      </c>
      <c r="O129">
        <f t="shared" si="17"/>
        <v>43.5</v>
      </c>
      <c r="R129">
        <f t="shared" si="13"/>
        <v>83.5</v>
      </c>
      <c r="S129">
        <f t="shared" si="14"/>
        <v>83.5</v>
      </c>
      <c r="V129">
        <f t="shared" si="15"/>
        <v>3.5103434200001171E-4</v>
      </c>
    </row>
    <row r="130" spans="1:22" x14ac:dyDescent="0.35">
      <c r="A130" t="s">
        <v>134</v>
      </c>
      <c r="B130">
        <v>-7.5456858999999904E-2</v>
      </c>
      <c r="C130">
        <v>2.8322666149999999E-4</v>
      </c>
      <c r="D130">
        <v>0.39272600000000002</v>
      </c>
      <c r="E130" s="1">
        <v>-9.2054100000000004E-5</v>
      </c>
      <c r="F130" t="s">
        <v>188</v>
      </c>
      <c r="G130">
        <f t="shared" si="8"/>
        <v>-7.5740085661499909E-2</v>
      </c>
      <c r="H130">
        <f t="shared" si="9"/>
        <v>2.8322666150000508E-4</v>
      </c>
      <c r="I130">
        <f t="shared" si="10"/>
        <v>2.8322666150000508E-4</v>
      </c>
      <c r="N130">
        <f t="shared" si="16"/>
        <v>35</v>
      </c>
      <c r="O130">
        <f t="shared" si="17"/>
        <v>35</v>
      </c>
      <c r="R130">
        <f t="shared" si="13"/>
        <v>67</v>
      </c>
      <c r="S130">
        <f t="shared" si="14"/>
        <v>67</v>
      </c>
      <c r="V130">
        <f t="shared" si="15"/>
        <v>2.8322666150000508E-4</v>
      </c>
    </row>
    <row r="131" spans="1:22" x14ac:dyDescent="0.35">
      <c r="A131" t="s">
        <v>135</v>
      </c>
      <c r="B131">
        <v>-0.55753770000000002</v>
      </c>
      <c r="C131">
        <v>0</v>
      </c>
      <c r="D131">
        <v>-1.0193099999999999</v>
      </c>
      <c r="E131">
        <v>0</v>
      </c>
      <c r="F131" t="s">
        <v>188</v>
      </c>
      <c r="G131">
        <f t="shared" ref="G131:G183" si="18">B131-C131</f>
        <v>-0.55753770000000002</v>
      </c>
      <c r="H131">
        <f t="shared" ref="H131:H183" si="19">B131-G131</f>
        <v>0</v>
      </c>
      <c r="I131">
        <f t="shared" ref="I131:I183" si="20">ABS(H131)</f>
        <v>0</v>
      </c>
      <c r="N131" t="str">
        <f t="shared" si="16"/>
        <v/>
      </c>
      <c r="O131" t="e">
        <f t="shared" si="17"/>
        <v>#VALUE!</v>
      </c>
      <c r="R131" t="str">
        <f t="shared" ref="R131:R182" si="21">IF(V131="","",_xlfn.RANK.AVG(V131,$V$2:$V$183,1))</f>
        <v/>
      </c>
      <c r="S131" t="e">
        <f t="shared" ref="S131:S183" si="22">SIGN(H131)*R131</f>
        <v>#VALUE!</v>
      </c>
      <c r="V131" t="str">
        <f t="shared" ref="V131:V182" si="23">IF(H131=0,"",I131)</f>
        <v/>
      </c>
    </row>
    <row r="132" spans="1:22" x14ac:dyDescent="0.35">
      <c r="A132" t="s">
        <v>136</v>
      </c>
      <c r="B132">
        <v>0.26304662299999998</v>
      </c>
      <c r="C132">
        <v>5.5690371400000005E-4</v>
      </c>
      <c r="D132">
        <v>1.00387</v>
      </c>
      <c r="E132">
        <v>1.04634E-3</v>
      </c>
      <c r="F132" t="s">
        <v>188</v>
      </c>
      <c r="G132">
        <f t="shared" si="18"/>
        <v>0.26248971928599996</v>
      </c>
      <c r="H132">
        <f t="shared" si="19"/>
        <v>5.5690371400002325E-4</v>
      </c>
      <c r="I132">
        <f t="shared" si="20"/>
        <v>5.5690371400002325E-4</v>
      </c>
      <c r="N132">
        <f t="shared" si="16"/>
        <v>56</v>
      </c>
      <c r="O132">
        <f t="shared" si="17"/>
        <v>56</v>
      </c>
      <c r="R132">
        <f t="shared" si="21"/>
        <v>112.5</v>
      </c>
      <c r="S132">
        <f t="shared" si="22"/>
        <v>112.5</v>
      </c>
      <c r="V132">
        <f t="shared" si="23"/>
        <v>5.5690371400002325E-4</v>
      </c>
    </row>
    <row r="133" spans="1:22" x14ac:dyDescent="0.35">
      <c r="A133" t="s">
        <v>137</v>
      </c>
      <c r="B133">
        <v>-0.40235509850000001</v>
      </c>
      <c r="C133">
        <v>-3.459320243E-3</v>
      </c>
      <c r="D133">
        <v>-0.58894899999999994</v>
      </c>
      <c r="E133">
        <v>-6.0427700000000003E-3</v>
      </c>
      <c r="F133" t="s">
        <v>188</v>
      </c>
      <c r="G133">
        <f t="shared" si="18"/>
        <v>-0.39889577825700001</v>
      </c>
      <c r="H133">
        <f t="shared" si="19"/>
        <v>-3.459320242999997E-3</v>
      </c>
      <c r="I133">
        <f t="shared" si="20"/>
        <v>3.459320242999997E-3</v>
      </c>
      <c r="N133">
        <f t="shared" si="16"/>
        <v>79</v>
      </c>
      <c r="O133">
        <f t="shared" si="17"/>
        <v>-79</v>
      </c>
      <c r="R133">
        <f t="shared" si="21"/>
        <v>171</v>
      </c>
      <c r="S133">
        <f t="shared" si="22"/>
        <v>-171</v>
      </c>
      <c r="V133">
        <f t="shared" si="23"/>
        <v>3.459320242999997E-3</v>
      </c>
    </row>
    <row r="134" spans="1:22" x14ac:dyDescent="0.35">
      <c r="A134" t="s">
        <v>138</v>
      </c>
      <c r="B134">
        <v>9.3117135999999899E-3</v>
      </c>
      <c r="C134">
        <v>-3.1041981650000001E-3</v>
      </c>
      <c r="D134">
        <v>-1.9638900000000001E-2</v>
      </c>
      <c r="E134">
        <v>-5.4521099999999996E-3</v>
      </c>
      <c r="F134" t="s">
        <v>188</v>
      </c>
      <c r="G134">
        <f t="shared" si="18"/>
        <v>1.241591176499999E-2</v>
      </c>
      <c r="H134">
        <f t="shared" si="19"/>
        <v>-3.1041981650000005E-3</v>
      </c>
      <c r="I134">
        <f t="shared" si="20"/>
        <v>3.1041981650000005E-3</v>
      </c>
      <c r="N134">
        <f t="shared" si="16"/>
        <v>69</v>
      </c>
      <c r="O134">
        <f t="shared" si="17"/>
        <v>-69</v>
      </c>
      <c r="R134">
        <f t="shared" si="21"/>
        <v>150</v>
      </c>
      <c r="S134">
        <f t="shared" si="22"/>
        <v>-150</v>
      </c>
      <c r="V134">
        <f t="shared" si="23"/>
        <v>3.1041981650000005E-3</v>
      </c>
    </row>
    <row r="135" spans="1:22" x14ac:dyDescent="0.35">
      <c r="A135" t="s">
        <v>139</v>
      </c>
      <c r="B135">
        <v>-0.81929280000000004</v>
      </c>
      <c r="C135">
        <v>1.1494916479999999E-4</v>
      </c>
      <c r="D135">
        <v>-1.70505</v>
      </c>
      <c r="E135" s="1">
        <v>5.5799800000000001E-5</v>
      </c>
      <c r="F135" t="s">
        <v>188</v>
      </c>
      <c r="G135">
        <f t="shared" si="18"/>
        <v>-0.81940774916480008</v>
      </c>
      <c r="H135">
        <f t="shared" si="19"/>
        <v>1.1494916480003781E-4</v>
      </c>
      <c r="I135">
        <f t="shared" si="20"/>
        <v>1.1494916480003781E-4</v>
      </c>
      <c r="N135">
        <f t="shared" si="16"/>
        <v>14</v>
      </c>
      <c r="O135">
        <f t="shared" si="17"/>
        <v>14</v>
      </c>
      <c r="R135">
        <f t="shared" si="21"/>
        <v>30</v>
      </c>
      <c r="S135">
        <f t="shared" si="22"/>
        <v>30</v>
      </c>
      <c r="V135">
        <f t="shared" si="23"/>
        <v>1.1494916480003781E-4</v>
      </c>
    </row>
    <row r="136" spans="1:22" x14ac:dyDescent="0.35">
      <c r="A136" t="s">
        <v>140</v>
      </c>
      <c r="B136">
        <v>0.20028476510000001</v>
      </c>
      <c r="C136">
        <v>-3.2232334013999999E-3</v>
      </c>
      <c r="D136">
        <v>-4.11189E-2</v>
      </c>
      <c r="E136">
        <v>-5.5842799999999996E-3</v>
      </c>
      <c r="F136" t="s">
        <v>188</v>
      </c>
      <c r="G136">
        <f t="shared" si="18"/>
        <v>0.2035079985014</v>
      </c>
      <c r="H136">
        <f t="shared" si="19"/>
        <v>-3.2232334013999886E-3</v>
      </c>
      <c r="I136">
        <f t="shared" si="20"/>
        <v>3.2232334013999886E-3</v>
      </c>
      <c r="N136">
        <f t="shared" si="16"/>
        <v>73</v>
      </c>
      <c r="O136">
        <f t="shared" si="17"/>
        <v>-73</v>
      </c>
      <c r="R136">
        <f t="shared" si="21"/>
        <v>159</v>
      </c>
      <c r="S136">
        <f t="shared" si="22"/>
        <v>-159</v>
      </c>
      <c r="V136">
        <f t="shared" si="23"/>
        <v>3.2232334013999886E-3</v>
      </c>
    </row>
    <row r="137" spans="1:22" x14ac:dyDescent="0.35">
      <c r="A137" t="s">
        <v>141</v>
      </c>
      <c r="B137">
        <v>-0.66218593999999997</v>
      </c>
      <c r="C137">
        <v>-3.3029565019999998E-3</v>
      </c>
      <c r="D137">
        <v>-1.30775</v>
      </c>
      <c r="E137">
        <v>-5.9276299999999997E-3</v>
      </c>
      <c r="F137" t="s">
        <v>188</v>
      </c>
      <c r="G137">
        <f t="shared" si="18"/>
        <v>-0.65888298349800001</v>
      </c>
      <c r="H137">
        <f t="shared" si="19"/>
        <v>-3.3029565019999652E-3</v>
      </c>
      <c r="I137">
        <f t="shared" si="20"/>
        <v>3.3029565019999652E-3</v>
      </c>
      <c r="N137">
        <f t="shared" si="16"/>
        <v>74</v>
      </c>
      <c r="O137">
        <f t="shared" si="17"/>
        <v>-74</v>
      </c>
      <c r="R137">
        <f t="shared" si="21"/>
        <v>161</v>
      </c>
      <c r="S137">
        <f t="shared" si="22"/>
        <v>-161</v>
      </c>
      <c r="V137">
        <f t="shared" si="23"/>
        <v>3.3029565019999652E-3</v>
      </c>
    </row>
    <row r="138" spans="1:22" x14ac:dyDescent="0.35">
      <c r="A138" t="s">
        <v>142</v>
      </c>
      <c r="B138">
        <v>0.15090646899999999</v>
      </c>
      <c r="C138">
        <v>-3.102358533E-3</v>
      </c>
      <c r="D138">
        <v>0.29134900000000002</v>
      </c>
      <c r="E138">
        <v>-5.9556799999999997E-3</v>
      </c>
      <c r="F138" t="s">
        <v>188</v>
      </c>
      <c r="G138">
        <f t="shared" si="18"/>
        <v>0.15400882753299999</v>
      </c>
      <c r="H138">
        <f t="shared" si="19"/>
        <v>-3.1023585330000047E-3</v>
      </c>
      <c r="I138">
        <f t="shared" si="20"/>
        <v>3.1023585330000047E-3</v>
      </c>
      <c r="N138">
        <f t="shared" si="16"/>
        <v>68</v>
      </c>
      <c r="O138">
        <f t="shared" si="17"/>
        <v>-68</v>
      </c>
      <c r="R138">
        <f t="shared" si="21"/>
        <v>149</v>
      </c>
      <c r="S138">
        <f t="shared" si="22"/>
        <v>-149</v>
      </c>
      <c r="V138">
        <f t="shared" si="23"/>
        <v>3.1023585330000047E-3</v>
      </c>
    </row>
    <row r="139" spans="1:22" x14ac:dyDescent="0.35">
      <c r="A139" t="s">
        <v>143</v>
      </c>
      <c r="B139">
        <v>-0.16404364099999899</v>
      </c>
      <c r="C139">
        <v>6.3544394999999997E-4</v>
      </c>
      <c r="D139">
        <v>-0.86693500000000001</v>
      </c>
      <c r="E139">
        <v>9.0596100000000005E-4</v>
      </c>
      <c r="F139" t="s">
        <v>188</v>
      </c>
      <c r="G139">
        <f t="shared" si="18"/>
        <v>-0.164679084949999</v>
      </c>
      <c r="H139">
        <f t="shared" si="19"/>
        <v>6.3544395000000864E-4</v>
      </c>
      <c r="I139">
        <f t="shared" si="20"/>
        <v>6.3544395000000864E-4</v>
      </c>
      <c r="N139">
        <f t="shared" si="16"/>
        <v>59</v>
      </c>
      <c r="O139">
        <f t="shared" si="17"/>
        <v>59</v>
      </c>
      <c r="R139">
        <f t="shared" si="21"/>
        <v>118</v>
      </c>
      <c r="S139">
        <f t="shared" si="22"/>
        <v>118</v>
      </c>
      <c r="V139">
        <f t="shared" si="23"/>
        <v>6.3544395000000864E-4</v>
      </c>
    </row>
    <row r="140" spans="1:22" x14ac:dyDescent="0.35">
      <c r="A140" t="s">
        <v>144</v>
      </c>
      <c r="B140">
        <v>-0.45294531300000002</v>
      </c>
      <c r="C140">
        <v>-3.453389387E-3</v>
      </c>
      <c r="D140">
        <v>-0.94912300000000005</v>
      </c>
      <c r="E140">
        <v>-6.4699600000000003E-3</v>
      </c>
      <c r="F140" t="s">
        <v>188</v>
      </c>
      <c r="G140">
        <f t="shared" si="18"/>
        <v>-0.449491923613</v>
      </c>
      <c r="H140">
        <f t="shared" si="19"/>
        <v>-3.4533893870000165E-3</v>
      </c>
      <c r="I140">
        <f t="shared" si="20"/>
        <v>3.4533893870000165E-3</v>
      </c>
      <c r="N140">
        <f t="shared" si="16"/>
        <v>78</v>
      </c>
      <c r="O140">
        <f t="shared" si="17"/>
        <v>-78</v>
      </c>
      <c r="R140">
        <f t="shared" si="21"/>
        <v>169</v>
      </c>
      <c r="S140">
        <f t="shared" si="22"/>
        <v>-169</v>
      </c>
      <c r="V140">
        <f t="shared" si="23"/>
        <v>3.4533893870000165E-3</v>
      </c>
    </row>
    <row r="141" spans="1:22" x14ac:dyDescent="0.35">
      <c r="A141" t="s">
        <v>145</v>
      </c>
      <c r="B141">
        <v>-0.25774430199999998</v>
      </c>
      <c r="C141">
        <v>2.6129981000000001E-4</v>
      </c>
      <c r="D141">
        <v>-0.50088200000000005</v>
      </c>
      <c r="E141">
        <v>5.21766E-4</v>
      </c>
      <c r="F141" t="s">
        <v>188</v>
      </c>
      <c r="G141">
        <f t="shared" si="18"/>
        <v>-0.25800560180999998</v>
      </c>
      <c r="H141">
        <f t="shared" si="19"/>
        <v>2.6129981000000413E-4</v>
      </c>
      <c r="I141">
        <f t="shared" si="20"/>
        <v>2.6129981000000413E-4</v>
      </c>
      <c r="N141">
        <f t="shared" si="16"/>
        <v>34</v>
      </c>
      <c r="O141">
        <f t="shared" si="17"/>
        <v>34</v>
      </c>
      <c r="R141">
        <f t="shared" si="21"/>
        <v>65.5</v>
      </c>
      <c r="S141">
        <f t="shared" si="22"/>
        <v>65.5</v>
      </c>
      <c r="V141">
        <f t="shared" si="23"/>
        <v>2.6129981000000413E-4</v>
      </c>
    </row>
    <row r="142" spans="1:22" x14ac:dyDescent="0.35">
      <c r="A142" t="s">
        <v>146</v>
      </c>
      <c r="B142">
        <v>-0.33305417599999998</v>
      </c>
      <c r="C142">
        <v>1.19033543E-4</v>
      </c>
      <c r="D142">
        <v>-0.844306</v>
      </c>
      <c r="E142">
        <v>1.3216700000000001E-4</v>
      </c>
      <c r="F142" t="s">
        <v>188</v>
      </c>
      <c r="G142">
        <f t="shared" si="18"/>
        <v>-0.333173209543</v>
      </c>
      <c r="H142">
        <f t="shared" si="19"/>
        <v>1.1903354300002444E-4</v>
      </c>
      <c r="I142">
        <f t="shared" si="20"/>
        <v>1.1903354300002444E-4</v>
      </c>
      <c r="N142">
        <f t="shared" si="16"/>
        <v>16</v>
      </c>
      <c r="O142">
        <f t="shared" si="17"/>
        <v>16</v>
      </c>
      <c r="R142">
        <f t="shared" si="21"/>
        <v>32</v>
      </c>
      <c r="S142">
        <f t="shared" si="22"/>
        <v>32</v>
      </c>
      <c r="V142">
        <f t="shared" si="23"/>
        <v>1.1903354300002444E-4</v>
      </c>
    </row>
    <row r="143" spans="1:22" x14ac:dyDescent="0.35">
      <c r="A143" t="s">
        <v>147</v>
      </c>
      <c r="B143">
        <v>0.29186152799999998</v>
      </c>
      <c r="C143" s="1">
        <v>-6.6625541499999998E-5</v>
      </c>
      <c r="D143">
        <v>0.64098200000000005</v>
      </c>
      <c r="E143">
        <v>-1.2261300000000001E-4</v>
      </c>
      <c r="F143" t="s">
        <v>188</v>
      </c>
      <c r="G143">
        <f t="shared" si="18"/>
        <v>0.29192815354149998</v>
      </c>
      <c r="H143">
        <f t="shared" si="19"/>
        <v>-6.6625541499998331E-5</v>
      </c>
      <c r="I143">
        <f t="shared" si="20"/>
        <v>6.6625541499998331E-5</v>
      </c>
      <c r="N143">
        <f t="shared" si="16"/>
        <v>7</v>
      </c>
      <c r="O143">
        <f t="shared" si="17"/>
        <v>-7</v>
      </c>
      <c r="R143">
        <f t="shared" si="21"/>
        <v>15</v>
      </c>
      <c r="S143">
        <f t="shared" si="22"/>
        <v>-15</v>
      </c>
      <c r="V143">
        <f t="shared" si="23"/>
        <v>6.6625541499998331E-5</v>
      </c>
    </row>
    <row r="144" spans="1:22" x14ac:dyDescent="0.35">
      <c r="A144" t="s">
        <v>148</v>
      </c>
      <c r="B144">
        <v>-0.79339605599999996</v>
      </c>
      <c r="C144">
        <v>6.1641852199999995E-4</v>
      </c>
      <c r="D144">
        <v>-0.81001000000000001</v>
      </c>
      <c r="E144">
        <v>1.11242E-3</v>
      </c>
      <c r="F144" t="s">
        <v>188</v>
      </c>
      <c r="G144">
        <f t="shared" si="18"/>
        <v>-0.79401247452199997</v>
      </c>
      <c r="H144">
        <f t="shared" si="19"/>
        <v>6.1641852200000624E-4</v>
      </c>
      <c r="I144">
        <f t="shared" si="20"/>
        <v>6.1641852200000624E-4</v>
      </c>
      <c r="N144">
        <f t="shared" si="16"/>
        <v>58</v>
      </c>
      <c r="O144">
        <f t="shared" si="17"/>
        <v>58</v>
      </c>
      <c r="R144">
        <f t="shared" si="21"/>
        <v>117</v>
      </c>
      <c r="S144">
        <f t="shared" si="22"/>
        <v>117</v>
      </c>
      <c r="V144">
        <f t="shared" si="23"/>
        <v>6.1641852200000624E-4</v>
      </c>
    </row>
    <row r="145" spans="1:22" x14ac:dyDescent="0.35">
      <c r="A145" t="s">
        <v>149</v>
      </c>
      <c r="B145">
        <v>-1.438495563</v>
      </c>
      <c r="C145">
        <v>-3.217302535E-3</v>
      </c>
      <c r="D145">
        <v>-2.2462499999999999</v>
      </c>
      <c r="E145">
        <v>-6.0114699999999997E-3</v>
      </c>
      <c r="F145" t="s">
        <v>188</v>
      </c>
      <c r="G145">
        <f t="shared" si="18"/>
        <v>-1.4352782604650001</v>
      </c>
      <c r="H145">
        <f t="shared" si="19"/>
        <v>-3.2173025349999662E-3</v>
      </c>
      <c r="I145">
        <f t="shared" si="20"/>
        <v>3.2173025349999662E-3</v>
      </c>
      <c r="N145">
        <f t="shared" si="16"/>
        <v>72</v>
      </c>
      <c r="O145">
        <f t="shared" si="17"/>
        <v>-72</v>
      </c>
      <c r="R145">
        <f t="shared" si="21"/>
        <v>157</v>
      </c>
      <c r="S145">
        <f t="shared" si="22"/>
        <v>-157</v>
      </c>
      <c r="V145">
        <f t="shared" si="23"/>
        <v>3.2173025349999662E-3</v>
      </c>
    </row>
    <row r="146" spans="1:22" x14ac:dyDescent="0.35">
      <c r="A146" t="s">
        <v>150</v>
      </c>
      <c r="B146">
        <v>-0.33840473999999998</v>
      </c>
      <c r="C146">
        <v>-1.199526193E-4</v>
      </c>
      <c r="D146">
        <v>-0.45127899999999999</v>
      </c>
      <c r="E146" s="1">
        <v>8.1041699999999994E-5</v>
      </c>
      <c r="F146" t="s">
        <v>188</v>
      </c>
      <c r="G146">
        <f t="shared" si="18"/>
        <v>-0.3382847873807</v>
      </c>
      <c r="H146">
        <f t="shared" si="19"/>
        <v>-1.1995261929997891E-4</v>
      </c>
      <c r="I146">
        <f t="shared" si="20"/>
        <v>1.1995261929997891E-4</v>
      </c>
      <c r="N146">
        <f t="shared" si="16"/>
        <v>17</v>
      </c>
      <c r="O146">
        <f t="shared" si="17"/>
        <v>-17</v>
      </c>
      <c r="R146">
        <f t="shared" si="21"/>
        <v>33</v>
      </c>
      <c r="S146">
        <f t="shared" si="22"/>
        <v>-33</v>
      </c>
      <c r="V146">
        <f t="shared" si="23"/>
        <v>1.1995261929997891E-4</v>
      </c>
    </row>
    <row r="147" spans="1:22" x14ac:dyDescent="0.35">
      <c r="A147" t="s">
        <v>151</v>
      </c>
      <c r="B147">
        <v>0.27425996499999999</v>
      </c>
      <c r="C147">
        <v>1.1494916479999999E-4</v>
      </c>
      <c r="D147">
        <v>0.27715800000000002</v>
      </c>
      <c r="E147" s="1">
        <v>5.5799800000000001E-5</v>
      </c>
      <c r="F147" t="s">
        <v>188</v>
      </c>
      <c r="G147">
        <f t="shared" si="18"/>
        <v>0.27414501583520001</v>
      </c>
      <c r="H147">
        <f t="shared" si="19"/>
        <v>1.149491647999823E-4</v>
      </c>
      <c r="I147">
        <f t="shared" si="20"/>
        <v>1.149491647999823E-4</v>
      </c>
      <c r="N147">
        <f t="shared" si="16"/>
        <v>12</v>
      </c>
      <c r="O147">
        <f t="shared" si="17"/>
        <v>12</v>
      </c>
      <c r="R147">
        <f t="shared" si="21"/>
        <v>27</v>
      </c>
      <c r="S147">
        <f t="shared" si="22"/>
        <v>27</v>
      </c>
      <c r="V147">
        <f t="shared" si="23"/>
        <v>1.149491647999823E-4</v>
      </c>
    </row>
    <row r="148" spans="1:22" x14ac:dyDescent="0.35">
      <c r="A148" t="s">
        <v>152</v>
      </c>
      <c r="B148">
        <v>0.39723603699999999</v>
      </c>
      <c r="C148">
        <v>-2.3608526614999999E-4</v>
      </c>
      <c r="D148">
        <v>0.40382400000000002</v>
      </c>
      <c r="E148">
        <v>-4.5848699999999999E-4</v>
      </c>
      <c r="F148" t="s">
        <v>188</v>
      </c>
      <c r="G148">
        <f t="shared" si="18"/>
        <v>0.39747212226614997</v>
      </c>
      <c r="H148">
        <f t="shared" si="19"/>
        <v>-2.3608526614998793E-4</v>
      </c>
      <c r="I148">
        <f t="shared" si="20"/>
        <v>2.3608526614998793E-4</v>
      </c>
      <c r="N148">
        <f t="shared" si="16"/>
        <v>31</v>
      </c>
      <c r="O148">
        <f t="shared" si="17"/>
        <v>-31</v>
      </c>
      <c r="R148">
        <f t="shared" si="21"/>
        <v>61</v>
      </c>
      <c r="S148">
        <f t="shared" si="22"/>
        <v>-61</v>
      </c>
      <c r="V148">
        <f t="shared" si="23"/>
        <v>2.3608526614998793E-4</v>
      </c>
    </row>
    <row r="149" spans="1:22" x14ac:dyDescent="0.35">
      <c r="A149" t="s">
        <v>153</v>
      </c>
      <c r="B149">
        <v>-0.76129504599999998</v>
      </c>
      <c r="C149" s="1">
        <v>-8.9735386140000001E-5</v>
      </c>
      <c r="D149">
        <v>-1.0019899999999999</v>
      </c>
      <c r="E149" s="1">
        <v>7.4782599999999998E-6</v>
      </c>
      <c r="F149" t="s">
        <v>188</v>
      </c>
      <c r="G149">
        <f t="shared" si="18"/>
        <v>-0.76120531061385999</v>
      </c>
      <c r="H149">
        <f t="shared" si="19"/>
        <v>-8.9735386139988549E-5</v>
      </c>
      <c r="I149">
        <f t="shared" si="20"/>
        <v>8.9735386139988549E-5</v>
      </c>
      <c r="N149">
        <f t="shared" si="16"/>
        <v>10.5</v>
      </c>
      <c r="O149">
        <f t="shared" si="17"/>
        <v>-10.5</v>
      </c>
      <c r="R149">
        <f t="shared" si="21"/>
        <v>21.5</v>
      </c>
      <c r="S149">
        <f t="shared" si="22"/>
        <v>-21.5</v>
      </c>
      <c r="V149">
        <f t="shared" si="23"/>
        <v>8.9735386139988549E-5</v>
      </c>
    </row>
    <row r="150" spans="1:22" x14ac:dyDescent="0.35">
      <c r="A150" t="s">
        <v>154</v>
      </c>
      <c r="B150">
        <v>-0.49137095650000001</v>
      </c>
      <c r="C150">
        <v>4.1173493900000001E-4</v>
      </c>
      <c r="D150">
        <v>-0.85499599999999998</v>
      </c>
      <c r="E150">
        <v>1.0640999999999999E-3</v>
      </c>
      <c r="F150" t="s">
        <v>188</v>
      </c>
      <c r="G150">
        <f t="shared" si="18"/>
        <v>-0.491782691439</v>
      </c>
      <c r="H150">
        <f t="shared" si="19"/>
        <v>4.1173493899998581E-4</v>
      </c>
      <c r="I150">
        <f t="shared" si="20"/>
        <v>4.1173493899998581E-4</v>
      </c>
      <c r="N150">
        <f t="shared" si="16"/>
        <v>48</v>
      </c>
      <c r="O150">
        <f t="shared" si="17"/>
        <v>48</v>
      </c>
      <c r="R150">
        <f t="shared" si="21"/>
        <v>93</v>
      </c>
      <c r="S150">
        <f t="shared" si="22"/>
        <v>93</v>
      </c>
      <c r="V150">
        <f t="shared" si="23"/>
        <v>4.1173493899998581E-4</v>
      </c>
    </row>
    <row r="151" spans="1:22" x14ac:dyDescent="0.35">
      <c r="A151" t="s">
        <v>155</v>
      </c>
      <c r="B151">
        <v>-0.95801745699999996</v>
      </c>
      <c r="C151">
        <v>-2.98213964E-3</v>
      </c>
      <c r="D151">
        <v>-2.1154000000000002</v>
      </c>
      <c r="E151">
        <v>-5.3397799999999997E-3</v>
      </c>
      <c r="F151" t="s">
        <v>188</v>
      </c>
      <c r="G151">
        <f t="shared" si="18"/>
        <v>-0.95503531735999991</v>
      </c>
      <c r="H151">
        <f t="shared" si="19"/>
        <v>-2.9821396400000477E-3</v>
      </c>
      <c r="I151">
        <f t="shared" si="20"/>
        <v>2.9821396400000477E-3</v>
      </c>
      <c r="N151">
        <f t="shared" si="16"/>
        <v>67</v>
      </c>
      <c r="O151">
        <f t="shared" si="17"/>
        <v>-67</v>
      </c>
      <c r="R151">
        <f t="shared" si="21"/>
        <v>142</v>
      </c>
      <c r="S151">
        <f t="shared" si="22"/>
        <v>-142</v>
      </c>
      <c r="V151">
        <f t="shared" si="23"/>
        <v>2.9821396400000477E-3</v>
      </c>
    </row>
    <row r="152" spans="1:22" x14ac:dyDescent="0.35">
      <c r="A152" t="s">
        <v>156</v>
      </c>
      <c r="B152">
        <v>-0.30658996999999999</v>
      </c>
      <c r="C152" s="1">
        <v>-8.9735386140000001E-5</v>
      </c>
      <c r="D152">
        <v>-1.2755000000000001</v>
      </c>
      <c r="E152" s="1">
        <v>7.4782599999999998E-6</v>
      </c>
      <c r="F152" t="s">
        <v>188</v>
      </c>
      <c r="G152">
        <f t="shared" si="18"/>
        <v>-0.30650023461386</v>
      </c>
      <c r="H152">
        <f t="shared" si="19"/>
        <v>-8.9735386139988549E-5</v>
      </c>
      <c r="I152">
        <f t="shared" si="20"/>
        <v>8.9735386139988549E-5</v>
      </c>
      <c r="N152">
        <f t="shared" si="16"/>
        <v>10.5</v>
      </c>
      <c r="O152">
        <f t="shared" si="17"/>
        <v>-10.5</v>
      </c>
      <c r="R152">
        <f t="shared" si="21"/>
        <v>21.5</v>
      </c>
      <c r="S152">
        <f t="shared" si="22"/>
        <v>-21.5</v>
      </c>
      <c r="V152">
        <f t="shared" si="23"/>
        <v>8.9735386139988549E-5</v>
      </c>
    </row>
    <row r="153" spans="1:22" x14ac:dyDescent="0.35">
      <c r="A153" t="s">
        <v>157</v>
      </c>
      <c r="B153">
        <v>0.41568927500000002</v>
      </c>
      <c r="C153">
        <v>4.2957635460000001E-4</v>
      </c>
      <c r="D153">
        <v>0.14604900000000001</v>
      </c>
      <c r="E153">
        <v>3.7391099999999999E-4</v>
      </c>
      <c r="F153" t="s">
        <v>188</v>
      </c>
      <c r="G153">
        <f t="shared" si="18"/>
        <v>0.41525969864540002</v>
      </c>
      <c r="H153">
        <f t="shared" si="19"/>
        <v>4.295763546000031E-4</v>
      </c>
      <c r="I153">
        <f t="shared" si="20"/>
        <v>4.295763546000031E-4</v>
      </c>
      <c r="N153">
        <f t="shared" si="16"/>
        <v>50</v>
      </c>
      <c r="O153">
        <f t="shared" si="17"/>
        <v>50</v>
      </c>
      <c r="R153">
        <f t="shared" si="21"/>
        <v>96.5</v>
      </c>
      <c r="S153">
        <f t="shared" si="22"/>
        <v>96.5</v>
      </c>
      <c r="V153">
        <f t="shared" si="23"/>
        <v>4.295763546000031E-4</v>
      </c>
    </row>
    <row r="154" spans="1:22" x14ac:dyDescent="0.35">
      <c r="A154" t="s">
        <v>158</v>
      </c>
      <c r="B154">
        <v>0.83882749599999995</v>
      </c>
      <c r="C154">
        <v>-4.4603454499999998E-4</v>
      </c>
      <c r="D154">
        <v>0.24994</v>
      </c>
      <c r="E154">
        <v>-1.0669E-3</v>
      </c>
      <c r="F154" t="s">
        <v>188</v>
      </c>
      <c r="G154">
        <f t="shared" si="18"/>
        <v>0.83927353054499998</v>
      </c>
      <c r="H154">
        <f t="shared" si="19"/>
        <v>-4.4603454500002915E-4</v>
      </c>
      <c r="I154">
        <f t="shared" si="20"/>
        <v>4.4603454500002915E-4</v>
      </c>
      <c r="N154">
        <f t="shared" si="16"/>
        <v>51</v>
      </c>
      <c r="O154">
        <f t="shared" si="17"/>
        <v>-51</v>
      </c>
      <c r="R154">
        <f t="shared" si="21"/>
        <v>100</v>
      </c>
      <c r="S154">
        <f t="shared" si="22"/>
        <v>-100</v>
      </c>
      <c r="V154">
        <f t="shared" si="23"/>
        <v>4.4603454500002915E-4</v>
      </c>
    </row>
    <row r="155" spans="1:22" x14ac:dyDescent="0.35">
      <c r="A155" t="s">
        <v>159</v>
      </c>
      <c r="B155">
        <v>-0.65602956047999905</v>
      </c>
      <c r="C155">
        <v>3.2490023199999998E-4</v>
      </c>
      <c r="D155">
        <v>-2.2050999999999998</v>
      </c>
      <c r="E155">
        <v>6.6421600000000003E-4</v>
      </c>
      <c r="F155" t="s">
        <v>188</v>
      </c>
      <c r="G155">
        <f t="shared" si="18"/>
        <v>-0.6563544607119991</v>
      </c>
      <c r="H155">
        <f t="shared" si="19"/>
        <v>3.2490023200004714E-4</v>
      </c>
      <c r="I155">
        <f t="shared" si="20"/>
        <v>3.2490023200004714E-4</v>
      </c>
      <c r="N155">
        <f t="shared" si="16"/>
        <v>42</v>
      </c>
      <c r="O155">
        <f t="shared" si="17"/>
        <v>42</v>
      </c>
      <c r="R155">
        <f t="shared" si="21"/>
        <v>77</v>
      </c>
      <c r="S155">
        <f t="shared" si="22"/>
        <v>77</v>
      </c>
      <c r="V155">
        <f t="shared" si="23"/>
        <v>3.2490023200004714E-4</v>
      </c>
    </row>
    <row r="156" spans="1:22" x14ac:dyDescent="0.35">
      <c r="A156" t="s">
        <v>160</v>
      </c>
      <c r="B156">
        <v>-1.56209139</v>
      </c>
      <c r="C156">
        <v>2.0586668900000001E-4</v>
      </c>
      <c r="D156">
        <v>-2.6134400000000002</v>
      </c>
      <c r="E156">
        <v>5.3204900000000004E-4</v>
      </c>
      <c r="F156" t="s">
        <v>188</v>
      </c>
      <c r="G156">
        <f t="shared" si="18"/>
        <v>-1.5622972566889999</v>
      </c>
      <c r="H156">
        <f t="shared" si="19"/>
        <v>2.0586668899991167E-4</v>
      </c>
      <c r="I156">
        <f t="shared" si="20"/>
        <v>2.0586668899991167E-4</v>
      </c>
      <c r="N156">
        <f t="shared" si="16"/>
        <v>27</v>
      </c>
      <c r="O156">
        <f t="shared" si="17"/>
        <v>27</v>
      </c>
      <c r="R156">
        <f t="shared" si="21"/>
        <v>54.5</v>
      </c>
      <c r="S156">
        <f t="shared" si="22"/>
        <v>54.5</v>
      </c>
      <c r="V156">
        <f t="shared" si="23"/>
        <v>2.0586668899991167E-4</v>
      </c>
    </row>
    <row r="157" spans="1:22" x14ac:dyDescent="0.35">
      <c r="A157" t="s">
        <v>161</v>
      </c>
      <c r="B157">
        <v>-0.53837176200000003</v>
      </c>
      <c r="C157">
        <v>1.9875833700000001E-4</v>
      </c>
      <c r="D157">
        <v>-1.42283</v>
      </c>
      <c r="E157">
        <v>4.7552E-4</v>
      </c>
      <c r="F157" t="s">
        <v>188</v>
      </c>
      <c r="G157">
        <f t="shared" si="18"/>
        <v>-0.53857052033700004</v>
      </c>
      <c r="H157">
        <f t="shared" si="19"/>
        <v>1.9875833700000456E-4</v>
      </c>
      <c r="I157">
        <f t="shared" si="20"/>
        <v>1.9875833700000456E-4</v>
      </c>
      <c r="N157">
        <f t="shared" si="16"/>
        <v>25.5</v>
      </c>
      <c r="O157">
        <f t="shared" si="17"/>
        <v>25.5</v>
      </c>
      <c r="R157">
        <f t="shared" si="21"/>
        <v>51.5</v>
      </c>
      <c r="S157">
        <f t="shared" si="22"/>
        <v>51.5</v>
      </c>
      <c r="V157">
        <f t="shared" si="23"/>
        <v>1.9875833700000456E-4</v>
      </c>
    </row>
    <row r="158" spans="1:22" x14ac:dyDescent="0.35">
      <c r="A158" t="s">
        <v>162</v>
      </c>
      <c r="B158">
        <v>-5.3873727999999899E-2</v>
      </c>
      <c r="C158">
        <v>5.2550134099999999E-4</v>
      </c>
      <c r="D158">
        <v>-0.60902000000000001</v>
      </c>
      <c r="E158">
        <v>6.3617100000000005E-4</v>
      </c>
      <c r="F158" t="s">
        <v>188</v>
      </c>
      <c r="G158">
        <f t="shared" si="18"/>
        <v>-5.4399229340999895E-2</v>
      </c>
      <c r="H158">
        <f t="shared" si="19"/>
        <v>5.2550134099999674E-4</v>
      </c>
      <c r="I158">
        <f t="shared" si="20"/>
        <v>5.2550134099999674E-4</v>
      </c>
      <c r="N158">
        <f t="shared" si="16"/>
        <v>54</v>
      </c>
      <c r="O158">
        <f t="shared" si="17"/>
        <v>54</v>
      </c>
      <c r="R158">
        <f t="shared" si="21"/>
        <v>108</v>
      </c>
      <c r="S158">
        <f t="shared" si="22"/>
        <v>108</v>
      </c>
      <c r="V158">
        <f t="shared" si="23"/>
        <v>5.2550134099999674E-4</v>
      </c>
    </row>
    <row r="159" spans="1:22" x14ac:dyDescent="0.35">
      <c r="A159" t="s">
        <v>163</v>
      </c>
      <c r="B159">
        <v>-9.6099527999999906E-2</v>
      </c>
      <c r="C159">
        <v>1.1494916479999999E-4</v>
      </c>
      <c r="D159">
        <v>-0.28119300000000003</v>
      </c>
      <c r="E159" s="1">
        <v>5.5799800000000001E-5</v>
      </c>
      <c r="F159" t="s">
        <v>188</v>
      </c>
      <c r="G159">
        <f t="shared" si="18"/>
        <v>-9.6214477164799903E-2</v>
      </c>
      <c r="H159">
        <f t="shared" si="19"/>
        <v>1.1494916479999617E-4</v>
      </c>
      <c r="I159">
        <f t="shared" si="20"/>
        <v>1.1494916479999617E-4</v>
      </c>
      <c r="N159">
        <f t="shared" si="16"/>
        <v>13</v>
      </c>
      <c r="O159">
        <f t="shared" si="17"/>
        <v>13</v>
      </c>
      <c r="R159">
        <f t="shared" si="21"/>
        <v>28.5</v>
      </c>
      <c r="S159">
        <f t="shared" si="22"/>
        <v>28.5</v>
      </c>
      <c r="V159">
        <f t="shared" si="23"/>
        <v>1.1494916479999617E-4</v>
      </c>
    </row>
    <row r="160" spans="1:22" x14ac:dyDescent="0.35">
      <c r="A160" t="s">
        <v>164</v>
      </c>
      <c r="B160">
        <v>0.120312741999999</v>
      </c>
      <c r="C160">
        <v>-2.9560231815E-4</v>
      </c>
      <c r="D160">
        <v>0.94628800000000002</v>
      </c>
      <c r="E160">
        <v>-5.2457100000000004E-4</v>
      </c>
      <c r="F160" t="s">
        <v>188</v>
      </c>
      <c r="G160">
        <f t="shared" si="18"/>
        <v>0.120608344318149</v>
      </c>
      <c r="H160">
        <f t="shared" si="19"/>
        <v>-2.9560231814999838E-4</v>
      </c>
      <c r="I160">
        <f t="shared" si="20"/>
        <v>2.9560231814999838E-4</v>
      </c>
      <c r="N160">
        <f t="shared" si="16"/>
        <v>39</v>
      </c>
      <c r="O160">
        <f t="shared" si="17"/>
        <v>-39</v>
      </c>
      <c r="R160">
        <f t="shared" si="21"/>
        <v>71</v>
      </c>
      <c r="S160">
        <f t="shared" si="22"/>
        <v>-71</v>
      </c>
      <c r="V160">
        <f t="shared" si="23"/>
        <v>2.9560231814999838E-4</v>
      </c>
    </row>
    <row r="161" spans="1:22" x14ac:dyDescent="0.35">
      <c r="A161" t="s">
        <v>165</v>
      </c>
      <c r="B161">
        <v>-0.13574765999999999</v>
      </c>
      <c r="C161">
        <v>5.1931179300000003E-4</v>
      </c>
      <c r="D161">
        <v>-0.61295999999999995</v>
      </c>
      <c r="E161">
        <v>3.6643299999999999E-4</v>
      </c>
      <c r="F161" t="s">
        <v>188</v>
      </c>
      <c r="G161">
        <f t="shared" si="18"/>
        <v>-0.13626697179299999</v>
      </c>
      <c r="H161">
        <f t="shared" si="19"/>
        <v>5.1931179299999353E-4</v>
      </c>
      <c r="I161">
        <f t="shared" si="20"/>
        <v>5.1931179299999353E-4</v>
      </c>
      <c r="N161">
        <f t="shared" si="16"/>
        <v>53</v>
      </c>
      <c r="O161">
        <f t="shared" si="17"/>
        <v>53</v>
      </c>
      <c r="R161">
        <f t="shared" si="21"/>
        <v>107</v>
      </c>
      <c r="S161">
        <f t="shared" si="22"/>
        <v>107</v>
      </c>
      <c r="V161">
        <f t="shared" si="23"/>
        <v>5.1931179299999353E-4</v>
      </c>
    </row>
    <row r="162" spans="1:22" x14ac:dyDescent="0.35">
      <c r="A162" t="s">
        <v>166</v>
      </c>
      <c r="B162">
        <v>0.78894928499999994</v>
      </c>
      <c r="C162">
        <v>2.0586668900000001E-4</v>
      </c>
      <c r="D162">
        <v>0.68151700000000004</v>
      </c>
      <c r="E162">
        <v>5.3204900000000004E-4</v>
      </c>
      <c r="F162" t="s">
        <v>188</v>
      </c>
      <c r="G162">
        <f t="shared" si="18"/>
        <v>0.78874341831099992</v>
      </c>
      <c r="H162">
        <f t="shared" si="19"/>
        <v>2.058666890000227E-4</v>
      </c>
      <c r="I162">
        <f t="shared" si="20"/>
        <v>2.058666890000227E-4</v>
      </c>
      <c r="N162">
        <f t="shared" si="16"/>
        <v>28</v>
      </c>
      <c r="O162">
        <f t="shared" si="17"/>
        <v>28</v>
      </c>
      <c r="R162">
        <f t="shared" si="21"/>
        <v>56.5</v>
      </c>
      <c r="S162">
        <f t="shared" si="22"/>
        <v>56.5</v>
      </c>
      <c r="V162">
        <f t="shared" si="23"/>
        <v>2.058666890000227E-4</v>
      </c>
    </row>
    <row r="163" spans="1:22" x14ac:dyDescent="0.35">
      <c r="A163" t="s">
        <v>167</v>
      </c>
      <c r="B163">
        <v>-0.76115835300000001</v>
      </c>
      <c r="C163">
        <v>4.1055093699999997E-4</v>
      </c>
      <c r="D163">
        <v>-0.491039</v>
      </c>
      <c r="E163">
        <v>5.8036999999999997E-4</v>
      </c>
      <c r="F163" t="s">
        <v>188</v>
      </c>
      <c r="G163">
        <f t="shared" si="18"/>
        <v>-0.76156890393700005</v>
      </c>
      <c r="H163">
        <f t="shared" si="19"/>
        <v>4.1055093700004264E-4</v>
      </c>
      <c r="I163">
        <f t="shared" si="20"/>
        <v>4.1055093700004264E-4</v>
      </c>
      <c r="N163">
        <f t="shared" ref="N163:N182" si="24">IF(V163="","",_xlfn.RANK.AVG(V163,$V$98:$V$183,1))</f>
        <v>47</v>
      </c>
      <c r="O163">
        <f t="shared" ref="O163:O183" si="25">SIGN(H163)*N163</f>
        <v>47</v>
      </c>
      <c r="R163">
        <f t="shared" si="21"/>
        <v>91</v>
      </c>
      <c r="S163">
        <f t="shared" si="22"/>
        <v>91</v>
      </c>
      <c r="V163">
        <f t="shared" si="23"/>
        <v>4.1055093700004264E-4</v>
      </c>
    </row>
    <row r="164" spans="1:22" x14ac:dyDescent="0.35">
      <c r="A164" t="s">
        <v>168</v>
      </c>
      <c r="B164">
        <v>-0.56920194000000002</v>
      </c>
      <c r="C164" s="1">
        <v>2.9298571999999899E-5</v>
      </c>
      <c r="D164">
        <v>-0.88054600000000005</v>
      </c>
      <c r="E164">
        <v>1.39646E-4</v>
      </c>
      <c r="F164" t="s">
        <v>188</v>
      </c>
      <c r="G164">
        <f t="shared" si="18"/>
        <v>-0.56923123857199998</v>
      </c>
      <c r="H164">
        <f t="shared" si="19"/>
        <v>2.9298571999958334E-5</v>
      </c>
      <c r="I164">
        <f t="shared" si="20"/>
        <v>2.9298571999958334E-5</v>
      </c>
      <c r="N164">
        <f t="shared" si="24"/>
        <v>2</v>
      </c>
      <c r="O164">
        <f t="shared" si="25"/>
        <v>2</v>
      </c>
      <c r="R164">
        <f t="shared" si="21"/>
        <v>4</v>
      </c>
      <c r="S164">
        <f t="shared" si="22"/>
        <v>4</v>
      </c>
      <c r="V164">
        <f t="shared" si="23"/>
        <v>2.9298571999958334E-5</v>
      </c>
    </row>
    <row r="165" spans="1:22" x14ac:dyDescent="0.35">
      <c r="A165" t="s">
        <v>169</v>
      </c>
      <c r="B165">
        <v>0.496720035</v>
      </c>
      <c r="C165" s="1">
        <v>5.54320649E-5</v>
      </c>
      <c r="D165">
        <v>0.56403499999999995</v>
      </c>
      <c r="E165" s="1">
        <v>-1.02841E-5</v>
      </c>
      <c r="F165" t="s">
        <v>188</v>
      </c>
      <c r="G165">
        <f t="shared" si="18"/>
        <v>0.49666460293510001</v>
      </c>
      <c r="H165">
        <f t="shared" si="19"/>
        <v>5.5432064899996192E-5</v>
      </c>
      <c r="I165">
        <f t="shared" si="20"/>
        <v>5.5432064899996192E-5</v>
      </c>
      <c r="N165">
        <f t="shared" si="24"/>
        <v>5.5</v>
      </c>
      <c r="O165">
        <f t="shared" si="25"/>
        <v>5.5</v>
      </c>
      <c r="R165">
        <f t="shared" si="21"/>
        <v>12.5</v>
      </c>
      <c r="S165">
        <f t="shared" si="22"/>
        <v>12.5</v>
      </c>
      <c r="V165">
        <f t="shared" si="23"/>
        <v>5.5432064899996192E-5</v>
      </c>
    </row>
    <row r="166" spans="1:22" x14ac:dyDescent="0.35">
      <c r="A166" t="s">
        <v>170</v>
      </c>
      <c r="B166">
        <v>0.65637044369999997</v>
      </c>
      <c r="C166">
        <v>0</v>
      </c>
      <c r="D166">
        <v>-5.7488299999999999E-2</v>
      </c>
      <c r="E166">
        <v>0</v>
      </c>
      <c r="F166" t="s">
        <v>188</v>
      </c>
      <c r="G166">
        <f t="shared" si="18"/>
        <v>0.65637044369999997</v>
      </c>
      <c r="H166">
        <f t="shared" si="19"/>
        <v>0</v>
      </c>
      <c r="I166">
        <f t="shared" si="20"/>
        <v>0</v>
      </c>
      <c r="N166" t="str">
        <f t="shared" si="24"/>
        <v/>
      </c>
      <c r="O166" t="e">
        <f t="shared" si="25"/>
        <v>#VALUE!</v>
      </c>
      <c r="R166" t="str">
        <f t="shared" si="21"/>
        <v/>
      </c>
      <c r="S166" t="e">
        <f t="shared" si="22"/>
        <v>#VALUE!</v>
      </c>
      <c r="V166" t="str">
        <f t="shared" si="23"/>
        <v/>
      </c>
    </row>
    <row r="167" spans="1:22" x14ac:dyDescent="0.35">
      <c r="A167" t="s">
        <v>171</v>
      </c>
      <c r="B167">
        <v>-1.125780547</v>
      </c>
      <c r="C167">
        <v>1.7038257289999999E-4</v>
      </c>
      <c r="D167">
        <v>-2.2019600000000001</v>
      </c>
      <c r="E167" s="1">
        <v>4.5516899999999998E-5</v>
      </c>
      <c r="F167" t="s">
        <v>188</v>
      </c>
      <c r="G167">
        <f t="shared" si="18"/>
        <v>-1.1259509295729</v>
      </c>
      <c r="H167">
        <f t="shared" si="19"/>
        <v>1.7038257290002967E-4</v>
      </c>
      <c r="I167">
        <f t="shared" si="20"/>
        <v>1.7038257290002967E-4</v>
      </c>
      <c r="N167">
        <f t="shared" si="24"/>
        <v>22</v>
      </c>
      <c r="O167">
        <f t="shared" si="25"/>
        <v>22</v>
      </c>
      <c r="R167">
        <f t="shared" si="21"/>
        <v>46</v>
      </c>
      <c r="S167">
        <f t="shared" si="22"/>
        <v>46</v>
      </c>
      <c r="V167">
        <f t="shared" si="23"/>
        <v>1.7038257290002967E-4</v>
      </c>
    </row>
    <row r="168" spans="1:22" x14ac:dyDescent="0.35">
      <c r="A168" t="s">
        <v>172</v>
      </c>
      <c r="B168">
        <v>-0.90024166400000005</v>
      </c>
      <c r="C168">
        <v>0</v>
      </c>
      <c r="D168">
        <v>-0.78411799999999998</v>
      </c>
      <c r="E168">
        <v>0</v>
      </c>
      <c r="F168" t="s">
        <v>188</v>
      </c>
      <c r="G168">
        <f t="shared" si="18"/>
        <v>-0.90024166400000005</v>
      </c>
      <c r="H168">
        <f t="shared" si="19"/>
        <v>0</v>
      </c>
      <c r="I168">
        <f t="shared" si="20"/>
        <v>0</v>
      </c>
      <c r="N168" t="str">
        <f t="shared" si="24"/>
        <v/>
      </c>
      <c r="O168" t="e">
        <f t="shared" si="25"/>
        <v>#VALUE!</v>
      </c>
      <c r="R168" t="str">
        <f t="shared" si="21"/>
        <v/>
      </c>
      <c r="S168" t="e">
        <f t="shared" si="22"/>
        <v>#VALUE!</v>
      </c>
      <c r="V168" t="str">
        <f t="shared" si="23"/>
        <v/>
      </c>
    </row>
    <row r="169" spans="1:22" x14ac:dyDescent="0.35">
      <c r="A169" t="s">
        <v>173</v>
      </c>
      <c r="B169">
        <v>-0.74824791099999999</v>
      </c>
      <c r="C169">
        <v>1.3924127460000001E-4</v>
      </c>
      <c r="D169">
        <v>-1.81812</v>
      </c>
      <c r="E169">
        <v>4.09436E-4</v>
      </c>
      <c r="F169" t="s">
        <v>188</v>
      </c>
      <c r="G169">
        <f t="shared" si="18"/>
        <v>-0.74838715227459995</v>
      </c>
      <c r="H169">
        <f t="shared" si="19"/>
        <v>1.3924127459996605E-4</v>
      </c>
      <c r="I169">
        <f t="shared" si="20"/>
        <v>1.3924127459996605E-4</v>
      </c>
      <c r="N169">
        <f t="shared" si="24"/>
        <v>19</v>
      </c>
      <c r="O169">
        <f t="shared" si="25"/>
        <v>19</v>
      </c>
      <c r="R169">
        <f t="shared" si="21"/>
        <v>36.5</v>
      </c>
      <c r="S169">
        <f t="shared" si="22"/>
        <v>36.5</v>
      </c>
      <c r="V169">
        <f t="shared" si="23"/>
        <v>1.3924127459996605E-4</v>
      </c>
    </row>
    <row r="170" spans="1:22" x14ac:dyDescent="0.35">
      <c r="A170" t="s">
        <v>174</v>
      </c>
      <c r="B170">
        <v>0.32264169799999998</v>
      </c>
      <c r="C170">
        <v>2.5419145799999998E-4</v>
      </c>
      <c r="D170">
        <v>0.35687000000000002</v>
      </c>
      <c r="E170">
        <v>4.6523700000000002E-4</v>
      </c>
      <c r="F170" t="s">
        <v>188</v>
      </c>
      <c r="G170">
        <f t="shared" si="18"/>
        <v>0.32238750654199999</v>
      </c>
      <c r="H170">
        <f t="shared" si="19"/>
        <v>2.5419145799998599E-4</v>
      </c>
      <c r="I170">
        <f t="shared" si="20"/>
        <v>2.5419145799998599E-4</v>
      </c>
      <c r="N170">
        <f t="shared" si="24"/>
        <v>32.5</v>
      </c>
      <c r="O170">
        <f t="shared" si="25"/>
        <v>32.5</v>
      </c>
      <c r="R170">
        <f t="shared" si="21"/>
        <v>62.5</v>
      </c>
      <c r="S170">
        <f t="shared" si="22"/>
        <v>62.5</v>
      </c>
      <c r="V170">
        <f t="shared" si="23"/>
        <v>2.5419145799998599E-4</v>
      </c>
    </row>
    <row r="171" spans="1:22" x14ac:dyDescent="0.35">
      <c r="A171" t="s">
        <v>175</v>
      </c>
      <c r="B171">
        <v>0.19593802160000001</v>
      </c>
      <c r="C171">
        <v>-3.5188350614000002E-3</v>
      </c>
      <c r="D171">
        <v>4.6300599999999997E-2</v>
      </c>
      <c r="E171">
        <v>-6.1088499999999999E-3</v>
      </c>
      <c r="F171" t="s">
        <v>188</v>
      </c>
      <c r="G171">
        <f t="shared" si="18"/>
        <v>0.19945685666140001</v>
      </c>
      <c r="H171">
        <f t="shared" si="19"/>
        <v>-3.5188350613999941E-3</v>
      </c>
      <c r="I171">
        <f t="shared" si="20"/>
        <v>3.5188350613999941E-3</v>
      </c>
      <c r="N171">
        <f t="shared" si="24"/>
        <v>82</v>
      </c>
      <c r="O171">
        <f t="shared" si="25"/>
        <v>-82</v>
      </c>
      <c r="R171">
        <f t="shared" si="21"/>
        <v>174</v>
      </c>
      <c r="S171">
        <f t="shared" si="22"/>
        <v>-174</v>
      </c>
      <c r="V171">
        <f t="shared" si="23"/>
        <v>3.5188350613999941E-3</v>
      </c>
    </row>
    <row r="172" spans="1:22" x14ac:dyDescent="0.35">
      <c r="A172" t="s">
        <v>176</v>
      </c>
      <c r="B172">
        <v>0.54599652600000004</v>
      </c>
      <c r="C172">
        <v>2.8849333109999997E-4</v>
      </c>
      <c r="D172">
        <v>0.50695400000000002</v>
      </c>
      <c r="E172">
        <v>4.6804099999999999E-4</v>
      </c>
      <c r="F172" t="s">
        <v>188</v>
      </c>
      <c r="G172">
        <f t="shared" si="18"/>
        <v>0.5457080326689</v>
      </c>
      <c r="H172">
        <f t="shared" si="19"/>
        <v>2.8849333110003705E-4</v>
      </c>
      <c r="I172">
        <f t="shared" si="20"/>
        <v>2.8849333110003705E-4</v>
      </c>
      <c r="N172">
        <f t="shared" si="24"/>
        <v>37.5</v>
      </c>
      <c r="O172">
        <f t="shared" si="25"/>
        <v>37.5</v>
      </c>
      <c r="R172">
        <f t="shared" si="21"/>
        <v>69.5</v>
      </c>
      <c r="S172">
        <f t="shared" si="22"/>
        <v>69.5</v>
      </c>
      <c r="V172">
        <f t="shared" si="23"/>
        <v>2.8849333110003705E-4</v>
      </c>
    </row>
    <row r="173" spans="1:22" x14ac:dyDescent="0.35">
      <c r="A173" t="s">
        <v>177</v>
      </c>
      <c r="B173">
        <v>0.48547469599999998</v>
      </c>
      <c r="C173">
        <v>-3.1566040600000001E-3</v>
      </c>
      <c r="D173">
        <v>-0.35798200000000002</v>
      </c>
      <c r="E173">
        <v>-5.4616600000000001E-3</v>
      </c>
      <c r="F173" t="s">
        <v>188</v>
      </c>
      <c r="G173">
        <f t="shared" si="18"/>
        <v>0.48863130006</v>
      </c>
      <c r="H173">
        <f t="shared" si="19"/>
        <v>-3.1566040600000123E-3</v>
      </c>
      <c r="I173">
        <f t="shared" si="20"/>
        <v>3.1566040600000123E-3</v>
      </c>
      <c r="N173">
        <f t="shared" si="24"/>
        <v>70</v>
      </c>
      <c r="O173">
        <f t="shared" si="25"/>
        <v>-70</v>
      </c>
      <c r="R173">
        <f t="shared" si="21"/>
        <v>152</v>
      </c>
      <c r="S173">
        <f t="shared" si="22"/>
        <v>-152</v>
      </c>
      <c r="V173">
        <f t="shared" si="23"/>
        <v>3.1566040600000123E-3</v>
      </c>
    </row>
    <row r="174" spans="1:22" x14ac:dyDescent="0.35">
      <c r="A174" t="s">
        <v>178</v>
      </c>
      <c r="B174">
        <v>-0.394554344</v>
      </c>
      <c r="C174">
        <v>-3.45220572E-3</v>
      </c>
      <c r="D174">
        <v>-0.69074899999999995</v>
      </c>
      <c r="E174">
        <v>-5.9862300000000004E-3</v>
      </c>
      <c r="F174" t="s">
        <v>188</v>
      </c>
      <c r="G174">
        <f t="shared" si="18"/>
        <v>-0.39110213828000001</v>
      </c>
      <c r="H174">
        <f t="shared" si="19"/>
        <v>-3.45220571999999E-3</v>
      </c>
      <c r="I174">
        <f t="shared" si="20"/>
        <v>3.45220571999999E-3</v>
      </c>
      <c r="N174">
        <f t="shared" si="24"/>
        <v>76.5</v>
      </c>
      <c r="O174">
        <f t="shared" si="25"/>
        <v>-76.5</v>
      </c>
      <c r="R174">
        <f t="shared" si="21"/>
        <v>166.5</v>
      </c>
      <c r="S174">
        <f t="shared" si="22"/>
        <v>-166.5</v>
      </c>
      <c r="V174">
        <f t="shared" si="23"/>
        <v>3.45220571999999E-3</v>
      </c>
    </row>
    <row r="175" spans="1:22" x14ac:dyDescent="0.35">
      <c r="A175" t="s">
        <v>179</v>
      </c>
      <c r="B175">
        <v>-2.2451651E-2</v>
      </c>
      <c r="C175">
        <v>5.5690371400000005E-4</v>
      </c>
      <c r="D175">
        <v>0.104236</v>
      </c>
      <c r="E175">
        <v>1.04634E-3</v>
      </c>
      <c r="F175" t="s">
        <v>188</v>
      </c>
      <c r="G175">
        <f t="shared" si="18"/>
        <v>-2.3008554713999999E-2</v>
      </c>
      <c r="H175">
        <f t="shared" si="19"/>
        <v>5.5690371399999897E-4</v>
      </c>
      <c r="I175">
        <f t="shared" si="20"/>
        <v>5.5690371399999897E-4</v>
      </c>
      <c r="N175">
        <f t="shared" si="24"/>
        <v>55</v>
      </c>
      <c r="O175">
        <f t="shared" si="25"/>
        <v>55</v>
      </c>
      <c r="R175">
        <f t="shared" si="21"/>
        <v>111</v>
      </c>
      <c r="S175">
        <f t="shared" si="22"/>
        <v>111</v>
      </c>
      <c r="V175">
        <f t="shared" si="23"/>
        <v>5.5690371399999897E-4</v>
      </c>
    </row>
    <row r="176" spans="1:22" x14ac:dyDescent="0.35">
      <c r="A176" t="s">
        <v>180</v>
      </c>
      <c r="B176">
        <v>2.1769768999999901E-2</v>
      </c>
      <c r="C176">
        <v>4.1173493900000001E-4</v>
      </c>
      <c r="D176">
        <v>0.20613799999999999</v>
      </c>
      <c r="E176">
        <v>1.0640999999999999E-3</v>
      </c>
      <c r="F176" t="s">
        <v>188</v>
      </c>
      <c r="G176">
        <f t="shared" si="18"/>
        <v>2.1358034060999901E-2</v>
      </c>
      <c r="H176">
        <f t="shared" si="19"/>
        <v>4.1173493899999969E-4</v>
      </c>
      <c r="I176">
        <f t="shared" si="20"/>
        <v>4.1173493899999969E-4</v>
      </c>
      <c r="N176">
        <f t="shared" si="24"/>
        <v>49</v>
      </c>
      <c r="O176">
        <f t="shared" si="25"/>
        <v>49</v>
      </c>
      <c r="R176">
        <f t="shared" si="21"/>
        <v>94</v>
      </c>
      <c r="S176">
        <f t="shared" si="22"/>
        <v>94</v>
      </c>
      <c r="V176">
        <f t="shared" si="23"/>
        <v>4.1173493899999969E-4</v>
      </c>
    </row>
    <row r="177" spans="1:22" x14ac:dyDescent="0.35">
      <c r="A177" t="s">
        <v>181</v>
      </c>
      <c r="B177">
        <v>-1.29839722</v>
      </c>
      <c r="C177">
        <v>-2.1706007600000001E-4</v>
      </c>
      <c r="D177">
        <v>-2.2495099999999999</v>
      </c>
      <c r="E177">
        <v>-6.6494600000000003E-4</v>
      </c>
      <c r="F177" t="s">
        <v>188</v>
      </c>
      <c r="G177">
        <f t="shared" si="18"/>
        <v>-1.2981801599239999</v>
      </c>
      <c r="H177">
        <f t="shared" si="19"/>
        <v>-2.1706007600008626E-4</v>
      </c>
      <c r="I177">
        <f t="shared" si="20"/>
        <v>2.1706007600008626E-4</v>
      </c>
      <c r="N177">
        <f t="shared" si="24"/>
        <v>30</v>
      </c>
      <c r="O177">
        <f t="shared" si="25"/>
        <v>-30</v>
      </c>
      <c r="R177">
        <f t="shared" si="21"/>
        <v>59</v>
      </c>
      <c r="S177">
        <f t="shared" si="22"/>
        <v>-59</v>
      </c>
      <c r="V177">
        <f t="shared" si="23"/>
        <v>2.1706007600008626E-4</v>
      </c>
    </row>
    <row r="178" spans="1:22" x14ac:dyDescent="0.35">
      <c r="A178" t="s">
        <v>182</v>
      </c>
      <c r="B178">
        <v>-0.37910439499999998</v>
      </c>
      <c r="C178">
        <v>3.7414380499999999E-4</v>
      </c>
      <c r="D178">
        <v>0.12021900000000001</v>
      </c>
      <c r="E178">
        <v>3.8419499999999999E-4</v>
      </c>
      <c r="F178" t="s">
        <v>188</v>
      </c>
      <c r="G178">
        <f t="shared" si="18"/>
        <v>-0.37947853880499999</v>
      </c>
      <c r="H178">
        <f t="shared" si="19"/>
        <v>3.7414380500000455E-4</v>
      </c>
      <c r="I178">
        <f t="shared" si="20"/>
        <v>3.7414380500000455E-4</v>
      </c>
      <c r="N178">
        <f t="shared" si="24"/>
        <v>45</v>
      </c>
      <c r="O178">
        <f t="shared" si="25"/>
        <v>45</v>
      </c>
      <c r="R178">
        <f t="shared" si="21"/>
        <v>86</v>
      </c>
      <c r="S178">
        <f t="shared" si="22"/>
        <v>86</v>
      </c>
      <c r="V178">
        <f t="shared" si="23"/>
        <v>3.7414380500000455E-4</v>
      </c>
    </row>
    <row r="179" spans="1:22" x14ac:dyDescent="0.35">
      <c r="A179" t="s">
        <v>183</v>
      </c>
      <c r="B179">
        <v>-0.45166155200000002</v>
      </c>
      <c r="C179">
        <v>1.9875833700000001E-4</v>
      </c>
      <c r="D179">
        <v>-0.17002200000000001</v>
      </c>
      <c r="E179">
        <v>4.7552E-4</v>
      </c>
      <c r="F179" t="s">
        <v>188</v>
      </c>
      <c r="G179">
        <f t="shared" si="18"/>
        <v>-0.45186031033700003</v>
      </c>
      <c r="H179">
        <f t="shared" si="19"/>
        <v>1.9875833700000456E-4</v>
      </c>
      <c r="I179">
        <f t="shared" si="20"/>
        <v>1.9875833700000456E-4</v>
      </c>
      <c r="N179">
        <f t="shared" si="24"/>
        <v>25.5</v>
      </c>
      <c r="O179">
        <f t="shared" si="25"/>
        <v>25.5</v>
      </c>
      <c r="R179">
        <f t="shared" si="21"/>
        <v>51.5</v>
      </c>
      <c r="S179">
        <f t="shared" si="22"/>
        <v>51.5</v>
      </c>
      <c r="V179">
        <f t="shared" si="23"/>
        <v>1.9875833700000456E-4</v>
      </c>
    </row>
    <row r="180" spans="1:22" x14ac:dyDescent="0.35">
      <c r="A180" t="s">
        <v>184</v>
      </c>
      <c r="B180">
        <v>-0.17305421399999901</v>
      </c>
      <c r="C180">
        <v>-2.1706007600000001E-4</v>
      </c>
      <c r="D180">
        <v>0.42916599999999999</v>
      </c>
      <c r="E180">
        <v>-6.6494600000000003E-4</v>
      </c>
      <c r="F180" t="s">
        <v>188</v>
      </c>
      <c r="G180">
        <f t="shared" si="18"/>
        <v>-0.17283715392399901</v>
      </c>
      <c r="H180">
        <f t="shared" si="19"/>
        <v>-2.1706007600000299E-4</v>
      </c>
      <c r="I180">
        <f t="shared" si="20"/>
        <v>2.1706007600000299E-4</v>
      </c>
      <c r="N180">
        <f t="shared" si="24"/>
        <v>29</v>
      </c>
      <c r="O180">
        <f t="shared" si="25"/>
        <v>-29</v>
      </c>
      <c r="R180">
        <f t="shared" si="21"/>
        <v>58</v>
      </c>
      <c r="S180">
        <f t="shared" si="22"/>
        <v>-58</v>
      </c>
      <c r="V180">
        <f t="shared" si="23"/>
        <v>2.1706007600000299E-4</v>
      </c>
    </row>
    <row r="181" spans="1:22" x14ac:dyDescent="0.35">
      <c r="A181" t="s">
        <v>185</v>
      </c>
      <c r="B181">
        <v>0.74196435199999999</v>
      </c>
      <c r="C181">
        <v>3.51034342E-4</v>
      </c>
      <c r="D181">
        <v>0.61292800000000003</v>
      </c>
      <c r="E181">
        <v>5.1428699999999999E-4</v>
      </c>
      <c r="F181" t="s">
        <v>188</v>
      </c>
      <c r="G181">
        <f t="shared" si="18"/>
        <v>0.74161331765799998</v>
      </c>
      <c r="H181">
        <f t="shared" si="19"/>
        <v>3.5103434200001171E-4</v>
      </c>
      <c r="I181">
        <f t="shared" si="20"/>
        <v>3.5103434200001171E-4</v>
      </c>
      <c r="N181">
        <f t="shared" si="24"/>
        <v>43.5</v>
      </c>
      <c r="O181">
        <f t="shared" si="25"/>
        <v>43.5</v>
      </c>
      <c r="R181">
        <f t="shared" si="21"/>
        <v>83.5</v>
      </c>
      <c r="S181">
        <f>SIGN(H181)*R181</f>
        <v>83.5</v>
      </c>
      <c r="V181">
        <f t="shared" si="23"/>
        <v>3.5103434200001171E-4</v>
      </c>
    </row>
    <row r="182" spans="1:22" x14ac:dyDescent="0.35">
      <c r="A182" t="s">
        <v>186</v>
      </c>
      <c r="B182">
        <v>-2.0441500260000001</v>
      </c>
      <c r="C182">
        <v>4.9435999700000002E-4</v>
      </c>
      <c r="D182">
        <v>-2.9211900000000002</v>
      </c>
      <c r="E182">
        <v>1.0000899999999999E-3</v>
      </c>
      <c r="F182" t="s">
        <v>188</v>
      </c>
      <c r="G182">
        <f t="shared" si="18"/>
        <v>-2.044644385997</v>
      </c>
      <c r="H182">
        <f t="shared" si="19"/>
        <v>4.9435999699998234E-4</v>
      </c>
      <c r="I182">
        <f t="shared" si="20"/>
        <v>4.9435999699998234E-4</v>
      </c>
      <c r="N182">
        <f t="shared" si="24"/>
        <v>52</v>
      </c>
      <c r="O182">
        <f t="shared" si="25"/>
        <v>52</v>
      </c>
      <c r="R182">
        <f t="shared" si="21"/>
        <v>106</v>
      </c>
      <c r="S182">
        <f t="shared" si="22"/>
        <v>106</v>
      </c>
      <c r="V182">
        <f t="shared" si="23"/>
        <v>4.9435999699998234E-4</v>
      </c>
    </row>
    <row r="183" spans="1:22" x14ac:dyDescent="0.35">
      <c r="A183" t="s">
        <v>187</v>
      </c>
      <c r="B183">
        <v>-0.56390793100000003</v>
      </c>
      <c r="C183">
        <v>-2.6604040959999999E-3</v>
      </c>
      <c r="D183">
        <v>-1.1367799999999999</v>
      </c>
      <c r="E183">
        <v>-4.9651399999999998E-3</v>
      </c>
      <c r="F183" t="s">
        <v>188</v>
      </c>
      <c r="G183">
        <f t="shared" si="18"/>
        <v>-0.56124752690400004</v>
      </c>
      <c r="H183">
        <f t="shared" si="19"/>
        <v>-2.6604040959999908E-3</v>
      </c>
      <c r="I183">
        <f t="shared" si="20"/>
        <v>2.6604040959999908E-3</v>
      </c>
      <c r="N183">
        <f>IF(V183="","",_xlfn.RANK.AVG(V183,$V$98:$V$183,1))</f>
        <v>63</v>
      </c>
      <c r="O183">
        <f t="shared" si="25"/>
        <v>-63</v>
      </c>
      <c r="R183">
        <f>IF(V183="","",_xlfn.RANK.AVG(V183,$V$2:$V$183,1))</f>
        <v>132</v>
      </c>
      <c r="S183">
        <f t="shared" si="22"/>
        <v>-132</v>
      </c>
      <c r="V183">
        <f>IF(H183=0,"",I183)</f>
        <v>2.6604040959999908E-3</v>
      </c>
    </row>
    <row r="185" spans="1:22" x14ac:dyDescent="0.35">
      <c r="B185" s="5" t="s">
        <v>196</v>
      </c>
      <c r="C185" s="5" t="s">
        <v>197</v>
      </c>
      <c r="D185" s="5" t="s">
        <v>198</v>
      </c>
      <c r="E185" s="5" t="s">
        <v>199</v>
      </c>
    </row>
    <row r="186" spans="1:22" x14ac:dyDescent="0.35">
      <c r="A186" s="5" t="s">
        <v>189</v>
      </c>
      <c r="B186">
        <f>COUNT(C2:C183)</f>
        <v>182</v>
      </c>
      <c r="C186">
        <f>COUNT(B2:B183)</f>
        <v>182</v>
      </c>
    </row>
    <row r="187" spans="1:22" x14ac:dyDescent="0.35">
      <c r="A187" s="5" t="s">
        <v>190</v>
      </c>
      <c r="B187">
        <f>AVERAGE(C2:C183)</f>
        <v>-6.5144901109972565E-4</v>
      </c>
      <c r="C187">
        <f>AVERAGE(B2:B183)</f>
        <v>-0.15466673702741759</v>
      </c>
      <c r="D187">
        <f>AVERAGE(D2:D183)</f>
        <v>-0.20883921109890116</v>
      </c>
      <c r="E187" s="1">
        <f>AVERAGE(E2:E183)</f>
        <v>-1.2357177467032961E-3</v>
      </c>
    </row>
    <row r="188" spans="1:22" x14ac:dyDescent="0.35">
      <c r="A188" s="5" t="s">
        <v>191</v>
      </c>
      <c r="B188">
        <f>MEDIAN(C2:C183)</f>
        <v>9.3782694500000008E-5</v>
      </c>
      <c r="C188">
        <f>MEDIAN(B2:B183)</f>
        <v>-0.1385293105</v>
      </c>
      <c r="D188">
        <f>MEDIAN(D2:D183)</f>
        <v>-0.221578</v>
      </c>
      <c r="E188" s="1">
        <f>MEDIAN(E2:E183)</f>
        <v>7.4782599999999998E-6</v>
      </c>
    </row>
    <row r="189" spans="1:22" x14ac:dyDescent="0.35">
      <c r="A189" s="5" t="s">
        <v>192</v>
      </c>
      <c r="B189">
        <f>_xlfn.STDEV.S(C2:C183)</f>
        <v>1.5074338722707789E-3</v>
      </c>
      <c r="C189">
        <f>_xlfn.STDEV.S(B2:B183)</f>
        <v>0.6879169719843311</v>
      </c>
      <c r="D189">
        <f>_xlfn.STDEV.S(D2:D183)</f>
        <v>1.0401145456146694</v>
      </c>
      <c r="E189">
        <f>_xlfn.STDEV.S(E2:E183)</f>
        <v>2.7063266465751686E-3</v>
      </c>
    </row>
    <row r="190" spans="1:22" x14ac:dyDescent="0.35">
      <c r="A190" s="5" t="s">
        <v>193</v>
      </c>
      <c r="B190">
        <f>_xlfn.QUARTILE.INC(C2:C183,3)-_xlfn.QUARTILE.INC(C2:C183,1)</f>
        <v>2.8848063815250001E-3</v>
      </c>
      <c r="C190">
        <f>_xlfn.QUARTILE.INC(B2:B183,3)-_xlfn.QUARTILE.INC(B2:B183,1)</f>
        <v>0.86092015514999998</v>
      </c>
      <c r="D190">
        <f>_xlfn.QUARTILE.INC(D2:D183,3)-_xlfn.QUARTILE.INC(D2:D183,1)</f>
        <v>1.3782080000000001</v>
      </c>
      <c r="E190" s="1">
        <f>_xlfn.QUARTILE.INC(E2:E183,3)-_xlfn.QUARTILE.INC(E2:E183,1)</f>
        <v>5.4266532499999999E-3</v>
      </c>
    </row>
    <row r="191" spans="1:22" x14ac:dyDescent="0.35">
      <c r="A191" s="5" t="s">
        <v>194</v>
      </c>
      <c r="B191">
        <f>MIN(C2:C183)</f>
        <v>-3.7478073799999999E-3</v>
      </c>
      <c r="C191">
        <f>MIN(B2:B183)</f>
        <v>-2.8967906480000001</v>
      </c>
      <c r="D191">
        <f>MIN(D2:D183)</f>
        <v>-2.9211900000000002</v>
      </c>
      <c r="E191" s="1">
        <f>MIN(E2:E183)</f>
        <v>-6.6586600000000003E-3</v>
      </c>
    </row>
    <row r="192" spans="1:22" x14ac:dyDescent="0.35">
      <c r="A192" s="5" t="s">
        <v>195</v>
      </c>
      <c r="B192">
        <f>MAX(C2:C183)</f>
        <v>1.0743744970000001E-3</v>
      </c>
      <c r="C192">
        <f>MAX(B2:B183)</f>
        <v>1.4685264499999999</v>
      </c>
      <c r="D192">
        <f>MAX(D2:D183)</f>
        <v>2.0986600000000002</v>
      </c>
      <c r="E192" s="1">
        <f>MAX(E2:E183)</f>
        <v>1.9163400000000001E-3</v>
      </c>
    </row>
    <row r="194" spans="1:4" ht="29" x14ac:dyDescent="0.35">
      <c r="A194" s="2" t="s">
        <v>203</v>
      </c>
      <c r="B194" s="4" t="s">
        <v>204</v>
      </c>
      <c r="C194" s="4" t="s">
        <v>205</v>
      </c>
      <c r="D194" s="4" t="s">
        <v>206</v>
      </c>
    </row>
    <row r="195" spans="1:4" x14ac:dyDescent="0.35">
      <c r="A195" s="6" t="s">
        <v>207</v>
      </c>
      <c r="B195" s="3">
        <f>AVERAGE(H2:H97)</f>
        <v>-6.569168203262439E-4</v>
      </c>
      <c r="C195" s="3">
        <f>AVERAGE(H98:H183)</f>
        <v>-6.4534541010267585E-4</v>
      </c>
      <c r="D195" s="3">
        <f>AVERAGE(H2:H183)</f>
        <v>-6.5144901109972283E-4</v>
      </c>
    </row>
    <row r="196" spans="1:4" x14ac:dyDescent="0.35">
      <c r="A196" s="6" t="s">
        <v>208</v>
      </c>
      <c r="B196" s="3">
        <f>MEDIAN(H2:H97)</f>
        <v>9.3782694499999764E-5</v>
      </c>
      <c r="C196" s="3">
        <f>MEDIAN(H98:H183)</f>
        <v>9.6745374399992423E-5</v>
      </c>
      <c r="D196" s="3">
        <f>MEDIAN(H2:H183)</f>
        <v>9.3782694500055275E-5</v>
      </c>
    </row>
    <row r="197" spans="1:4" x14ac:dyDescent="0.35">
      <c r="A197" s="6" t="s">
        <v>209</v>
      </c>
      <c r="B197" s="3">
        <f>_xlfn.STDEV.S(H2:H97)</f>
        <v>1.5171337343437554E-3</v>
      </c>
      <c r="C197" s="3">
        <f>_xlfn.STDEV.S(H98:H183)</f>
        <v>1.5054001549459934E-3</v>
      </c>
      <c r="D197" s="3">
        <f>_xlfn.STDEV.S(H2:H183)</f>
        <v>1.5074338722707785E-3</v>
      </c>
    </row>
    <row r="198" spans="1:4" ht="29" x14ac:dyDescent="0.35">
      <c r="A198" s="6" t="s">
        <v>210</v>
      </c>
      <c r="B198" s="3">
        <f>AVERAGE(I2:I97)</f>
        <v>1.0618786331358359E-3</v>
      </c>
      <c r="C198" s="3">
        <f>AVERAGE(I98:I183)</f>
        <v>9.9031783457709287E-4</v>
      </c>
      <c r="D198" s="3">
        <f>AVERAGE(I2:I183)</f>
        <v>1.0280641898608254E-3</v>
      </c>
    </row>
    <row r="199" spans="1:4" ht="29" x14ac:dyDescent="0.35">
      <c r="A199" s="6" t="s">
        <v>211</v>
      </c>
      <c r="B199" s="3">
        <f>MEDIAN(I2:I97)</f>
        <v>4.1914275460001871E-4</v>
      </c>
      <c r="C199" s="3">
        <f>MEDIAN(I98:I183)</f>
        <v>3.1025127507500194E-4</v>
      </c>
      <c r="D199" s="3">
        <f>MEDIAN(I2:I183)</f>
        <v>3.6258907350000813E-4</v>
      </c>
    </row>
    <row r="200" spans="1:4" ht="29" x14ac:dyDescent="0.35">
      <c r="A200" s="6" t="s">
        <v>212</v>
      </c>
      <c r="B200" s="3">
        <f>MAX(I2:I97)</f>
        <v>3.5795336299999925E-3</v>
      </c>
      <c r="C200" s="3">
        <f>MAX(I98:I183)</f>
        <v>3.7478073799999123E-3</v>
      </c>
      <c r="D200" s="3">
        <f>MAX(I2:I183)</f>
        <v>3.7478073799999123E-3</v>
      </c>
    </row>
    <row r="201" spans="1:4" x14ac:dyDescent="0.35">
      <c r="A201" s="5"/>
    </row>
    <row r="202" spans="1:4" x14ac:dyDescent="0.35">
      <c r="A202" s="6" t="s">
        <v>214</v>
      </c>
    </row>
    <row r="203" spans="1:4" x14ac:dyDescent="0.35">
      <c r="A203" s="6" t="s">
        <v>100</v>
      </c>
      <c r="B203" s="5" t="s">
        <v>216</v>
      </c>
      <c r="C203" s="5" t="s">
        <v>217</v>
      </c>
      <c r="D203" s="5" t="s">
        <v>218</v>
      </c>
    </row>
    <row r="204" spans="1:4" x14ac:dyDescent="0.35">
      <c r="A204" s="6" t="s">
        <v>101</v>
      </c>
      <c r="B204">
        <v>96</v>
      </c>
      <c r="C204">
        <f>MIN(L2,M2)</f>
        <v>2014</v>
      </c>
    </row>
    <row r="205" spans="1:4" x14ac:dyDescent="0.35">
      <c r="A205" s="6" t="s">
        <v>188</v>
      </c>
      <c r="B205">
        <v>86</v>
      </c>
      <c r="C205">
        <f>MIN(P98,Q98)</f>
        <v>1648</v>
      </c>
    </row>
    <row r="206" spans="1:4" x14ac:dyDescent="0.35">
      <c r="A206" s="6" t="s">
        <v>215</v>
      </c>
      <c r="B206">
        <v>182</v>
      </c>
      <c r="C206">
        <f>MIN(T2,T3)</f>
        <v>7268</v>
      </c>
    </row>
    <row r="208" spans="1:4" x14ac:dyDescent="0.35">
      <c r="A208" s="2" t="s">
        <v>232</v>
      </c>
      <c r="B208" s="4" t="s">
        <v>233</v>
      </c>
    </row>
    <row r="209" spans="1:2" ht="58" x14ac:dyDescent="0.35">
      <c r="A209" s="6" t="s">
        <v>234</v>
      </c>
      <c r="B209" s="7">
        <v>1.49E-3</v>
      </c>
    </row>
    <row r="210" spans="1:2" ht="58" x14ac:dyDescent="0.35">
      <c r="A210" s="6" t="s">
        <v>235</v>
      </c>
      <c r="B210" s="7">
        <v>5.45E-3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Mishra</dc:creator>
  <cp:lastModifiedBy>Soumya Mishra</cp:lastModifiedBy>
  <dcterms:created xsi:type="dcterms:W3CDTF">2026-10-02T20:57:27Z</dcterms:created>
  <dcterms:modified xsi:type="dcterms:W3CDTF">2026-10-04T05:40:17Z</dcterms:modified>
</cp:coreProperties>
</file>