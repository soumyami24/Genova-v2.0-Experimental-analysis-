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my\Downloads\Gneova_Stroke\Experiment\"/>
    </mc:Choice>
  </mc:AlternateContent>
  <xr:revisionPtr revIDLastSave="0" documentId="13_ncr:1_{8D8C4B91-A8A8-467F-AE4C-A1CE74743720}" xr6:coauthVersionLast="47" xr6:coauthVersionMax="47" xr10:uidLastSave="{00000000-0000-0000-0000-000000000000}"/>
  <bookViews>
    <workbookView xWindow="-90" yWindow="0" windowWidth="9780" windowHeight="10170" xr2:uid="{9998F93D-DA22-46DD-80FE-BCE587171E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6" i="1" l="1"/>
  <c r="D106" i="1"/>
  <c r="C106" i="1"/>
  <c r="E105" i="1"/>
  <c r="D105" i="1"/>
  <c r="C105" i="1"/>
  <c r="E104" i="1"/>
  <c r="D104" i="1"/>
  <c r="C104" i="1"/>
  <c r="E103" i="1"/>
  <c r="D103" i="1"/>
  <c r="C103" i="1"/>
  <c r="E102" i="1"/>
  <c r="D102" i="1"/>
  <c r="C102" i="1"/>
  <c r="E101" i="1"/>
  <c r="D101" i="1"/>
  <c r="C101" i="1"/>
  <c r="E100" i="1"/>
  <c r="D100" i="1"/>
  <c r="C100" i="1"/>
  <c r="B104" i="1"/>
  <c r="B100" i="1"/>
  <c r="B101" i="1"/>
  <c r="B106" i="1"/>
  <c r="B105" i="1"/>
  <c r="B102" i="1"/>
  <c r="B103" i="1"/>
</calcChain>
</file>

<file path=xl/sharedStrings.xml><?xml version="1.0" encoding="utf-8"?>
<sst xmlns="http://schemas.openxmlformats.org/spreadsheetml/2006/main" count="112" uniqueCount="112">
  <si>
    <t>Sample ID</t>
  </si>
  <si>
    <t>SAKSHAM-PRS</t>
  </si>
  <si>
    <t>SAKSHAM-PRS variants</t>
  </si>
  <si>
    <t>HG01583</t>
  </si>
  <si>
    <t>HG01586</t>
  </si>
  <si>
    <t>HG01589</t>
  </si>
  <si>
    <t>HG01593</t>
  </si>
  <si>
    <t>HG02490</t>
  </si>
  <si>
    <t>HG02491</t>
  </si>
  <si>
    <t>HG02493</t>
  </si>
  <si>
    <t>HG02494</t>
  </si>
  <si>
    <t>HG02597</t>
  </si>
  <si>
    <t>HG02600</t>
  </si>
  <si>
    <t>HG02601</t>
  </si>
  <si>
    <t>HG02603</t>
  </si>
  <si>
    <t>HG02604</t>
  </si>
  <si>
    <t>HG02648</t>
  </si>
  <si>
    <t>HG02649</t>
  </si>
  <si>
    <t>HG02651</t>
  </si>
  <si>
    <t>HG02652</t>
  </si>
  <si>
    <t>HG02654</t>
  </si>
  <si>
    <t>HG02655</t>
  </si>
  <si>
    <t>HG02657</t>
  </si>
  <si>
    <t>HG02658</t>
  </si>
  <si>
    <t>HG02660</t>
  </si>
  <si>
    <t>HG02661</t>
  </si>
  <si>
    <t>HG02681</t>
  </si>
  <si>
    <t>HG02682</t>
  </si>
  <si>
    <t>HG02684</t>
  </si>
  <si>
    <t>HG02685</t>
  </si>
  <si>
    <t>HG02687</t>
  </si>
  <si>
    <t>HG02688</t>
  </si>
  <si>
    <t>HG02690</t>
  </si>
  <si>
    <t>HG02691</t>
  </si>
  <si>
    <t>HG02694</t>
  </si>
  <si>
    <t>HG02696</t>
  </si>
  <si>
    <t>HG02697</t>
  </si>
  <si>
    <t>HG02699</t>
  </si>
  <si>
    <t>HG02700</t>
  </si>
  <si>
    <t>HG02724</t>
  </si>
  <si>
    <t>HG02725</t>
  </si>
  <si>
    <t>HG02727</t>
  </si>
  <si>
    <t>HG02728</t>
  </si>
  <si>
    <t>HG02731</t>
  </si>
  <si>
    <t>HG02733</t>
  </si>
  <si>
    <t>HG02734</t>
  </si>
  <si>
    <t>HG02736</t>
  </si>
  <si>
    <t>HG02737</t>
  </si>
  <si>
    <t>HG02774</t>
  </si>
  <si>
    <t>HG02775</t>
  </si>
  <si>
    <t>HG02778</t>
  </si>
  <si>
    <t>HG02780</t>
  </si>
  <si>
    <t>HG02783</t>
  </si>
  <si>
    <t>HG02784</t>
  </si>
  <si>
    <t>HG02786</t>
  </si>
  <si>
    <t>HG02787</t>
  </si>
  <si>
    <t>HG02789</t>
  </si>
  <si>
    <t>HG02790</t>
  </si>
  <si>
    <t>HG02792</t>
  </si>
  <si>
    <t>HG02793</t>
  </si>
  <si>
    <t>HG03015</t>
  </si>
  <si>
    <t>HG03016</t>
  </si>
  <si>
    <t>HG03018</t>
  </si>
  <si>
    <t>HG03019</t>
  </si>
  <si>
    <t>HG03021</t>
  </si>
  <si>
    <t>HG03022</t>
  </si>
  <si>
    <t>HG03228</t>
  </si>
  <si>
    <t>HG03229</t>
  </si>
  <si>
    <t>HG03234</t>
  </si>
  <si>
    <t>HG03235</t>
  </si>
  <si>
    <t>HG03237</t>
  </si>
  <si>
    <t>HG03238</t>
  </si>
  <si>
    <t>HG03488</t>
  </si>
  <si>
    <t>HG03490</t>
  </si>
  <si>
    <t>HG03491</t>
  </si>
  <si>
    <t>HG03619</t>
  </si>
  <si>
    <t>HG03624</t>
  </si>
  <si>
    <t>HG03625</t>
  </si>
  <si>
    <t>HG03629</t>
  </si>
  <si>
    <t>HG03631</t>
  </si>
  <si>
    <t>HG03634</t>
  </si>
  <si>
    <t>HG03636</t>
  </si>
  <si>
    <t>HG03640</t>
  </si>
  <si>
    <t>HG03649</t>
  </si>
  <si>
    <t>HG03652</t>
  </si>
  <si>
    <t>HG03653</t>
  </si>
  <si>
    <t>HG03660</t>
  </si>
  <si>
    <t>HG03663</t>
  </si>
  <si>
    <t>HG03667</t>
  </si>
  <si>
    <t>HG03668</t>
  </si>
  <si>
    <t>HG03702</t>
  </si>
  <si>
    <t>HG03703</t>
  </si>
  <si>
    <t>HG03705</t>
  </si>
  <si>
    <t>HG03706</t>
  </si>
  <si>
    <t>HG03708</t>
  </si>
  <si>
    <t>HG03709</t>
  </si>
  <si>
    <t>HG03762</t>
  </si>
  <si>
    <t>HG03765</t>
  </si>
  <si>
    <t>HG03767</t>
  </si>
  <si>
    <t>PRScs-european</t>
  </si>
  <si>
    <t>PRScs-european variants</t>
  </si>
  <si>
    <t>N</t>
  </si>
  <si>
    <t>Mean</t>
  </si>
  <si>
    <t>Median</t>
  </si>
  <si>
    <t>SD</t>
  </si>
  <si>
    <t>IQR</t>
  </si>
  <si>
    <t>Min</t>
  </si>
  <si>
    <t>Max</t>
  </si>
  <si>
    <t>SAKSHAM-prs variants</t>
  </si>
  <si>
    <t xml:space="preserve">SAKSHAM-prs </t>
  </si>
  <si>
    <t>PRScs European</t>
  </si>
  <si>
    <t>PRScs-European variants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</si>
</sst>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79722-96DB-4B37-AF04-A4759880D282}">
  <dimension ref="A1:E106"/>
  <sheetViews>
    <sheetView tabSelected="1" topLeftCell="A97" workbookViewId="0">
      <selection activeCell="E106" sqref="E106"/>
    </sheetView>
  </sheetViews>
  <sheetFormatPr defaultRowHeight="14.5" x14ac:dyDescent="0.35"/>
  <cols>
    <col min="1" max="1" width="15.7265625" customWidth="1"/>
    <col min="2" max="2" width="29.26953125" customWidth="1"/>
    <col min="3" max="3" width="21.54296875" customWidth="1"/>
    <col min="4" max="4" width="15.54296875" customWidth="1"/>
    <col min="5" max="5" width="22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99</v>
      </c>
      <c r="E1" t="s">
        <v>100</v>
      </c>
    </row>
    <row r="2" spans="1:5" x14ac:dyDescent="0.35">
      <c r="A2" t="s">
        <v>3</v>
      </c>
      <c r="B2">
        <v>-9.6151460179999995E-2</v>
      </c>
      <c r="C2">
        <v>1.1494916479999999E-4</v>
      </c>
      <c r="D2">
        <v>-6.9453800000000001E-3</v>
      </c>
      <c r="E2" s="1">
        <v>5.5799800000000001E-5</v>
      </c>
    </row>
    <row r="3" spans="1:5" x14ac:dyDescent="0.35">
      <c r="A3" t="s">
        <v>4</v>
      </c>
      <c r="B3">
        <v>-0.286720531</v>
      </c>
      <c r="C3">
        <v>-3.4574751049999998E-3</v>
      </c>
      <c r="D3">
        <v>-0.21076800000000001</v>
      </c>
      <c r="E3">
        <v>-6.5463300000000004E-3</v>
      </c>
    </row>
    <row r="4" spans="1:5" x14ac:dyDescent="0.35">
      <c r="A4" t="s">
        <v>5</v>
      </c>
      <c r="B4">
        <v>0.984991799</v>
      </c>
      <c r="C4" s="1">
        <v>4.8323488499999903E-5</v>
      </c>
      <c r="D4">
        <v>1.9754700000000001</v>
      </c>
      <c r="E4" s="1">
        <v>-6.6813500000000007E-5</v>
      </c>
    </row>
    <row r="5" spans="1:5" x14ac:dyDescent="0.35">
      <c r="A5" t="s">
        <v>6</v>
      </c>
      <c r="B5">
        <v>-0.361527665</v>
      </c>
      <c r="C5">
        <v>4.57952969E-4</v>
      </c>
      <c r="D5">
        <v>-0.49241499999999999</v>
      </c>
      <c r="E5">
        <v>8.0391499999999999E-4</v>
      </c>
    </row>
    <row r="6" spans="1:5" x14ac:dyDescent="0.35">
      <c r="A6" t="s">
        <v>7</v>
      </c>
      <c r="B6">
        <v>0.60939624999999997</v>
      </c>
      <c r="C6">
        <v>-3.1880073290000001E-3</v>
      </c>
      <c r="D6">
        <v>1.22587</v>
      </c>
      <c r="E6">
        <v>-5.8718299999999998E-3</v>
      </c>
    </row>
    <row r="7" spans="1:5" x14ac:dyDescent="0.35">
      <c r="A7" t="s">
        <v>8</v>
      </c>
      <c r="B7">
        <v>-0.71522485000000002</v>
      </c>
      <c r="C7">
        <v>5.8001058759999996E-4</v>
      </c>
      <c r="D7">
        <v>-1.0324599999999999</v>
      </c>
      <c r="E7">
        <v>9.1624399999999998E-4</v>
      </c>
    </row>
    <row r="8" spans="1:5" x14ac:dyDescent="0.35">
      <c r="A8" t="s">
        <v>9</v>
      </c>
      <c r="B8">
        <v>-0.38407705920000001</v>
      </c>
      <c r="C8" s="1">
        <v>-7.1892648999999896E-5</v>
      </c>
      <c r="D8">
        <v>3.5110799999999998E-2</v>
      </c>
      <c r="E8">
        <v>-6.8270899999999999E-4</v>
      </c>
    </row>
    <row r="9" spans="1:5" x14ac:dyDescent="0.35">
      <c r="A9" t="s">
        <v>10</v>
      </c>
      <c r="B9">
        <v>1.4685264499999999</v>
      </c>
      <c r="C9">
        <v>3.4985224420000001E-4</v>
      </c>
      <c r="D9">
        <v>1.95095</v>
      </c>
      <c r="E9" s="1">
        <v>3.0559199999999997E-5</v>
      </c>
    </row>
    <row r="10" spans="1:5" x14ac:dyDescent="0.35">
      <c r="A10" t="s">
        <v>11</v>
      </c>
      <c r="B10">
        <v>-7.2853125999999893E-2</v>
      </c>
      <c r="C10">
        <v>4.2957635460000001E-4</v>
      </c>
      <c r="D10">
        <v>-0.28353400000000001</v>
      </c>
      <c r="E10">
        <v>3.7391099999999999E-4</v>
      </c>
    </row>
    <row r="11" spans="1:5" x14ac:dyDescent="0.35">
      <c r="A11" t="s">
        <v>12</v>
      </c>
      <c r="B11">
        <v>-1.1653573429999999</v>
      </c>
      <c r="C11">
        <v>1.380588979E-4</v>
      </c>
      <c r="D11">
        <v>-2.3935</v>
      </c>
      <c r="E11" s="1">
        <v>-7.4291700000000006E-5</v>
      </c>
    </row>
    <row r="12" spans="1:5" x14ac:dyDescent="0.35">
      <c r="A12" t="s">
        <v>13</v>
      </c>
      <c r="B12">
        <v>-0.78563518799999998</v>
      </c>
      <c r="C12">
        <v>3.4392542899999999E-4</v>
      </c>
      <c r="D12">
        <v>-0.75056800000000001</v>
      </c>
      <c r="E12">
        <v>4.5775699999999999E-4</v>
      </c>
    </row>
    <row r="13" spans="1:5" x14ac:dyDescent="0.35">
      <c r="A13" t="s">
        <v>14</v>
      </c>
      <c r="B13">
        <v>-0.75020432000000004</v>
      </c>
      <c r="C13">
        <v>2.6129981000000001E-4</v>
      </c>
      <c r="D13">
        <v>-1.19702</v>
      </c>
      <c r="E13">
        <v>5.21766E-4</v>
      </c>
    </row>
    <row r="14" spans="1:5" x14ac:dyDescent="0.35">
      <c r="A14" t="s">
        <v>15</v>
      </c>
      <c r="B14">
        <v>-8.45538019999999E-2</v>
      </c>
      <c r="C14">
        <v>-2.6675130089999998E-3</v>
      </c>
      <c r="D14">
        <v>0.66263799999999995</v>
      </c>
      <c r="E14">
        <v>-5.0216699999999998E-3</v>
      </c>
    </row>
    <row r="15" spans="1:5" x14ac:dyDescent="0.35">
      <c r="A15" t="s">
        <v>16</v>
      </c>
      <c r="B15">
        <v>-0.36091865899999998</v>
      </c>
      <c r="C15">
        <v>-2.951920373E-3</v>
      </c>
      <c r="D15">
        <v>-0.314749</v>
      </c>
      <c r="E15">
        <v>-5.41334E-3</v>
      </c>
    </row>
    <row r="16" spans="1:5" x14ac:dyDescent="0.35">
      <c r="A16" t="s">
        <v>17</v>
      </c>
      <c r="B16">
        <v>0.56786262099999996</v>
      </c>
      <c r="C16">
        <v>7.4828704399999997E-4</v>
      </c>
      <c r="D16">
        <v>0.65972600000000003</v>
      </c>
      <c r="E16">
        <v>7.6838999999999998E-4</v>
      </c>
    </row>
    <row r="17" spans="1:5" x14ac:dyDescent="0.35">
      <c r="A17" t="s">
        <v>18</v>
      </c>
      <c r="B17">
        <v>0.73567956800000001</v>
      </c>
      <c r="C17">
        <v>6.3952764999999998E-4</v>
      </c>
      <c r="D17">
        <v>1.26529</v>
      </c>
      <c r="E17">
        <v>9.8232799999999998E-4</v>
      </c>
    </row>
    <row r="18" spans="1:5" x14ac:dyDescent="0.35">
      <c r="A18" t="s">
        <v>19</v>
      </c>
      <c r="B18">
        <v>-0.14131096100000001</v>
      </c>
      <c r="C18">
        <v>3.51034342E-4</v>
      </c>
      <c r="D18">
        <v>0.38619900000000001</v>
      </c>
      <c r="E18">
        <v>5.1428699999999999E-4</v>
      </c>
    </row>
    <row r="19" spans="1:5" x14ac:dyDescent="0.35">
      <c r="A19" t="s">
        <v>20</v>
      </c>
      <c r="B19">
        <v>0.25572729049999998</v>
      </c>
      <c r="C19">
        <v>4.1055093699999997E-4</v>
      </c>
      <c r="D19">
        <v>0.63569100000000001</v>
      </c>
      <c r="E19">
        <v>5.8036999999999997E-4</v>
      </c>
    </row>
    <row r="20" spans="1:5" x14ac:dyDescent="0.35">
      <c r="A20" t="s">
        <v>21</v>
      </c>
      <c r="B20">
        <v>0.191139691</v>
      </c>
      <c r="C20" s="1">
        <v>-1.4217369000000001E-5</v>
      </c>
      <c r="D20">
        <v>0.85198099999999999</v>
      </c>
      <c r="E20">
        <v>-1.13059E-4</v>
      </c>
    </row>
    <row r="21" spans="1:5" x14ac:dyDescent="0.35">
      <c r="A21" t="s">
        <v>22</v>
      </c>
      <c r="B21">
        <v>-0.24512643099999901</v>
      </c>
      <c r="C21">
        <v>4.3484293459999999E-4</v>
      </c>
      <c r="D21">
        <v>0.81539899999999998</v>
      </c>
      <c r="E21">
        <v>9.3400600000000003E-4</v>
      </c>
    </row>
    <row r="22" spans="1:5" x14ac:dyDescent="0.35">
      <c r="A22" t="s">
        <v>23</v>
      </c>
      <c r="B22">
        <v>0.22561674900000001</v>
      </c>
      <c r="C22">
        <v>-2.9276317414E-3</v>
      </c>
      <c r="D22">
        <v>0.69172699999999998</v>
      </c>
      <c r="E22">
        <v>-5.0597100000000002E-3</v>
      </c>
    </row>
    <row r="23" spans="1:5" x14ac:dyDescent="0.35">
      <c r="A23" t="s">
        <v>24</v>
      </c>
      <c r="B23">
        <v>4.8457059199999902E-2</v>
      </c>
      <c r="C23">
        <v>3.2490023199999998E-4</v>
      </c>
      <c r="D23">
        <v>0.34561700000000001</v>
      </c>
      <c r="E23">
        <v>6.6421600000000003E-4</v>
      </c>
    </row>
    <row r="24" spans="1:5" x14ac:dyDescent="0.35">
      <c r="A24" t="s">
        <v>25</v>
      </c>
      <c r="B24">
        <v>-6.5252718999999904E-2</v>
      </c>
      <c r="C24">
        <v>-3.017365806E-3</v>
      </c>
      <c r="D24">
        <v>-0.223027</v>
      </c>
      <c r="E24">
        <v>-5.0522299999999996E-3</v>
      </c>
    </row>
    <row r="25" spans="1:5" x14ac:dyDescent="0.35">
      <c r="A25" t="s">
        <v>26</v>
      </c>
      <c r="B25">
        <v>-0.81710159429999996</v>
      </c>
      <c r="C25">
        <v>-3.1637185830000001E-3</v>
      </c>
      <c r="D25">
        <v>-9.0946299999999994E-2</v>
      </c>
      <c r="E25">
        <v>-5.5182E-3</v>
      </c>
    </row>
    <row r="26" spans="1:5" x14ac:dyDescent="0.35">
      <c r="A26" t="s">
        <v>27</v>
      </c>
      <c r="B26">
        <v>0.22341644199999999</v>
      </c>
      <c r="C26">
        <v>-3.5795336299999998E-3</v>
      </c>
      <c r="D26">
        <v>1.0051300000000001</v>
      </c>
      <c r="E26">
        <v>-6.6586600000000003E-3</v>
      </c>
    </row>
    <row r="27" spans="1:5" x14ac:dyDescent="0.35">
      <c r="A27" t="s">
        <v>28</v>
      </c>
      <c r="B27">
        <v>-0.37839668799999998</v>
      </c>
      <c r="C27" s="1">
        <v>-8.9735386140000001E-5</v>
      </c>
      <c r="D27">
        <v>-0.42771999999999999</v>
      </c>
      <c r="E27" s="1">
        <v>7.4782599999999998E-6</v>
      </c>
    </row>
    <row r="28" spans="1:5" x14ac:dyDescent="0.35">
      <c r="A28" t="s">
        <v>29</v>
      </c>
      <c r="B28">
        <v>0.12216432100000001</v>
      </c>
      <c r="C28">
        <v>5.5690371400000005E-4</v>
      </c>
      <c r="D28">
        <v>-0.27843099999999998</v>
      </c>
      <c r="E28">
        <v>1.04634E-3</v>
      </c>
    </row>
    <row r="29" spans="1:5" x14ac:dyDescent="0.35">
      <c r="A29" t="s">
        <v>30</v>
      </c>
      <c r="B29">
        <v>-1.5214546099999999</v>
      </c>
      <c r="C29" s="1">
        <v>7.8541584000000003E-5</v>
      </c>
      <c r="D29">
        <v>-2.5375800000000002</v>
      </c>
      <c r="E29">
        <v>-1.40376E-4</v>
      </c>
    </row>
    <row r="30" spans="1:5" x14ac:dyDescent="0.35">
      <c r="A30" t="s">
        <v>31</v>
      </c>
      <c r="B30">
        <v>-0.13064404399999999</v>
      </c>
      <c r="C30">
        <v>1.451674286E-4</v>
      </c>
      <c r="D30">
        <v>-0.454295</v>
      </c>
      <c r="E30" s="1">
        <v>-1.7762400000000001E-5</v>
      </c>
    </row>
    <row r="31" spans="1:5" x14ac:dyDescent="0.35">
      <c r="A31" t="s">
        <v>32</v>
      </c>
      <c r="B31">
        <v>-0.33733827299999902</v>
      </c>
      <c r="C31">
        <v>2.6011692840000001E-4</v>
      </c>
      <c r="D31">
        <v>-0.40954400000000002</v>
      </c>
      <c r="E31" s="1">
        <v>3.8037400000000003E-5</v>
      </c>
    </row>
    <row r="32" spans="1:5" x14ac:dyDescent="0.35">
      <c r="A32" t="s">
        <v>33</v>
      </c>
      <c r="B32">
        <v>0.27891535299999998</v>
      </c>
      <c r="C32">
        <v>5.5690371400000005E-4</v>
      </c>
      <c r="D32">
        <v>0.48756500000000003</v>
      </c>
      <c r="E32">
        <v>1.04634E-3</v>
      </c>
    </row>
    <row r="33" spans="1:5" x14ac:dyDescent="0.35">
      <c r="A33" t="s">
        <v>34</v>
      </c>
      <c r="B33">
        <v>1.1391881399999999</v>
      </c>
      <c r="C33">
        <v>8.6850669020000003E-4</v>
      </c>
      <c r="D33">
        <v>2.0986600000000002</v>
      </c>
      <c r="E33">
        <v>1.38429E-3</v>
      </c>
    </row>
    <row r="34" spans="1:5" x14ac:dyDescent="0.35">
      <c r="A34" t="s">
        <v>35</v>
      </c>
      <c r="B34">
        <v>-2.4318729480000001</v>
      </c>
      <c r="C34">
        <v>6.1523587299999998E-4</v>
      </c>
      <c r="D34">
        <v>-2.7684199999999999</v>
      </c>
      <c r="E34">
        <v>6.2869200000000003E-4</v>
      </c>
    </row>
    <row r="35" spans="1:5" x14ac:dyDescent="0.35">
      <c r="A35" t="s">
        <v>36</v>
      </c>
      <c r="B35">
        <v>0.39264954549999997</v>
      </c>
      <c r="C35">
        <v>1.9875833700000001E-4</v>
      </c>
      <c r="D35">
        <v>0.93888000000000005</v>
      </c>
      <c r="E35">
        <v>4.7552E-4</v>
      </c>
    </row>
    <row r="36" spans="1:5" x14ac:dyDescent="0.35">
      <c r="A36" t="s">
        <v>37</v>
      </c>
      <c r="B36">
        <v>-0.244033529</v>
      </c>
      <c r="C36">
        <v>-3.3748496184000001E-3</v>
      </c>
      <c r="D36">
        <v>-0.19983699999999999</v>
      </c>
      <c r="E36">
        <v>-6.6103400000000001E-3</v>
      </c>
    </row>
    <row r="37" spans="1:5" x14ac:dyDescent="0.35">
      <c r="A37" t="s">
        <v>38</v>
      </c>
      <c r="B37">
        <v>-0.68434961660000004</v>
      </c>
      <c r="C37">
        <v>4.1055093699999997E-4</v>
      </c>
      <c r="D37">
        <v>-0.47867500000000002</v>
      </c>
      <c r="E37">
        <v>5.8036999999999997E-4</v>
      </c>
    </row>
    <row r="38" spans="1:5" x14ac:dyDescent="0.35">
      <c r="A38" t="s">
        <v>39</v>
      </c>
      <c r="B38">
        <v>0.98367702599999995</v>
      </c>
      <c r="C38">
        <v>1.451674286E-4</v>
      </c>
      <c r="D38">
        <v>1.44702</v>
      </c>
      <c r="E38" s="1">
        <v>-1.7762400000000001E-5</v>
      </c>
    </row>
    <row r="39" spans="1:5" x14ac:dyDescent="0.35">
      <c r="A39" t="s">
        <v>40</v>
      </c>
      <c r="B39">
        <v>-0.94220521099999999</v>
      </c>
      <c r="C39">
        <v>-3.1387628599999998E-3</v>
      </c>
      <c r="D39">
        <v>-2.1361300000000001</v>
      </c>
      <c r="E39">
        <v>-6.1518500000000004E-3</v>
      </c>
    </row>
    <row r="40" spans="1:5" x14ac:dyDescent="0.35">
      <c r="A40" t="s">
        <v>41</v>
      </c>
      <c r="B40">
        <v>0.170857066999999</v>
      </c>
      <c r="C40">
        <v>1.451674286E-4</v>
      </c>
      <c r="D40">
        <v>-0.57706100000000005</v>
      </c>
      <c r="E40" s="1">
        <v>-1.7762400000000001E-5</v>
      </c>
    </row>
    <row r="41" spans="1:5" x14ac:dyDescent="0.35">
      <c r="A41" t="s">
        <v>42</v>
      </c>
      <c r="B41">
        <v>7.5336015399999998E-2</v>
      </c>
      <c r="C41">
        <v>-5.3168701994999997E-4</v>
      </c>
      <c r="D41">
        <v>1.4363799999999999E-2</v>
      </c>
      <c r="E41">
        <v>-9.8305700000000007E-4</v>
      </c>
    </row>
    <row r="42" spans="1:5" x14ac:dyDescent="0.35">
      <c r="A42" t="s">
        <v>43</v>
      </c>
      <c r="B42">
        <v>-0.68220298349999997</v>
      </c>
      <c r="C42">
        <v>-2.8733806979999998E-3</v>
      </c>
      <c r="D42">
        <v>-1.52905</v>
      </c>
      <c r="E42">
        <v>-5.5537199999999998E-3</v>
      </c>
    </row>
    <row r="43" spans="1:5" x14ac:dyDescent="0.35">
      <c r="A43" t="s">
        <v>44</v>
      </c>
      <c r="B43">
        <v>-0.44190073229999999</v>
      </c>
      <c r="C43">
        <v>-3.217302535E-3</v>
      </c>
      <c r="D43">
        <v>-8.4778300000000001E-2</v>
      </c>
      <c r="E43">
        <v>-6.0114699999999997E-3</v>
      </c>
    </row>
    <row r="44" spans="1:5" x14ac:dyDescent="0.35">
      <c r="A44" t="s">
        <v>45</v>
      </c>
      <c r="B44">
        <v>-0.53874314979999904</v>
      </c>
      <c r="C44">
        <v>-2.4083212859999999E-3</v>
      </c>
      <c r="D44">
        <v>-0.56585799999999997</v>
      </c>
      <c r="E44">
        <v>-4.6932800000000002E-3</v>
      </c>
    </row>
    <row r="45" spans="1:5" x14ac:dyDescent="0.35">
      <c r="A45" t="s">
        <v>46</v>
      </c>
      <c r="B45">
        <v>-0.36192845299999998</v>
      </c>
      <c r="C45">
        <v>3.4392542899999999E-4</v>
      </c>
      <c r="D45">
        <v>-0.94267100000000004</v>
      </c>
      <c r="E45">
        <v>4.5775699999999999E-4</v>
      </c>
    </row>
    <row r="46" spans="1:5" x14ac:dyDescent="0.35">
      <c r="A46" t="s">
        <v>47</v>
      </c>
      <c r="B46">
        <v>-0.25452448900000002</v>
      </c>
      <c r="C46">
        <v>1.9757565736E-4</v>
      </c>
      <c r="D46">
        <v>-0.29586200000000001</v>
      </c>
      <c r="E46" s="1">
        <v>-8.2082399999999999E-6</v>
      </c>
    </row>
    <row r="47" spans="1:5" x14ac:dyDescent="0.35">
      <c r="A47" t="s">
        <v>48</v>
      </c>
      <c r="B47">
        <v>0.454979315</v>
      </c>
      <c r="C47">
        <v>4.9027596200000004E-4</v>
      </c>
      <c r="D47">
        <v>1.7051700000000001</v>
      </c>
      <c r="E47">
        <v>9.2372299999999999E-4</v>
      </c>
    </row>
    <row r="48" spans="1:5" x14ac:dyDescent="0.35">
      <c r="A48" t="s">
        <v>49</v>
      </c>
      <c r="B48">
        <v>-0.41779011799999999</v>
      </c>
      <c r="C48">
        <v>-3.2839319699999999E-3</v>
      </c>
      <c r="D48">
        <v>-0.64141300000000001</v>
      </c>
      <c r="E48">
        <v>-6.13409E-3</v>
      </c>
    </row>
    <row r="49" spans="1:5" x14ac:dyDescent="0.35">
      <c r="A49" t="s">
        <v>50</v>
      </c>
      <c r="B49">
        <v>-0.96081945899999999</v>
      </c>
      <c r="C49">
        <v>4.1055093699999997E-4</v>
      </c>
      <c r="D49">
        <v>-0.372199</v>
      </c>
      <c r="E49">
        <v>5.8036999999999997E-4</v>
      </c>
    </row>
    <row r="50" spans="1:5" x14ac:dyDescent="0.35">
      <c r="A50" t="s">
        <v>51</v>
      </c>
      <c r="B50">
        <v>0.30086880799999999</v>
      </c>
      <c r="C50">
        <v>4.3484293459999999E-4</v>
      </c>
      <c r="D50">
        <v>0.90542</v>
      </c>
      <c r="E50">
        <v>9.3400600000000003E-4</v>
      </c>
    </row>
    <row r="51" spans="1:5" x14ac:dyDescent="0.35">
      <c r="A51" t="s">
        <v>52</v>
      </c>
      <c r="B51">
        <v>0.29241404269999999</v>
      </c>
      <c r="C51">
        <v>3.51034342E-4</v>
      </c>
      <c r="D51">
        <v>0.59043699999999999</v>
      </c>
      <c r="E51">
        <v>5.1428699999999999E-4</v>
      </c>
    </row>
    <row r="52" spans="1:5" x14ac:dyDescent="0.35">
      <c r="A52" t="s">
        <v>53</v>
      </c>
      <c r="B52">
        <v>-1.401332942</v>
      </c>
      <c r="C52">
        <v>-1.50434568E-4</v>
      </c>
      <c r="D52">
        <v>-2.0150000000000001</v>
      </c>
      <c r="E52">
        <v>-5.4233299999999999E-4</v>
      </c>
    </row>
    <row r="53" spans="1:5" x14ac:dyDescent="0.35">
      <c r="A53" t="s">
        <v>54</v>
      </c>
      <c r="B53">
        <v>-0.68309193199999996</v>
      </c>
      <c r="C53" s="1">
        <v>2.5214809299999899E-5</v>
      </c>
      <c r="D53">
        <v>-0.70127799999999996</v>
      </c>
      <c r="E53" s="1">
        <v>6.3279299999999996E-5</v>
      </c>
    </row>
    <row r="54" spans="1:5" x14ac:dyDescent="0.35">
      <c r="A54" t="s">
        <v>55</v>
      </c>
      <c r="B54">
        <v>0.25286955999999999</v>
      </c>
      <c r="C54">
        <v>4.8909341699999997E-4</v>
      </c>
      <c r="D54">
        <v>-0.297126</v>
      </c>
      <c r="E54">
        <v>4.3999499999999999E-4</v>
      </c>
    </row>
    <row r="55" spans="1:5" x14ac:dyDescent="0.35">
      <c r="A55" t="s">
        <v>56</v>
      </c>
      <c r="B55">
        <v>-0.1175712635</v>
      </c>
      <c r="C55" s="1">
        <v>-3.02182638E-5</v>
      </c>
      <c r="D55">
        <v>6.8063499999999999E-2</v>
      </c>
      <c r="E55" s="1">
        <v>7.3562199999999998E-5</v>
      </c>
    </row>
    <row r="56" spans="1:5" x14ac:dyDescent="0.35">
      <c r="A56" t="s">
        <v>57</v>
      </c>
      <c r="B56">
        <v>-0.683359563</v>
      </c>
      <c r="C56">
        <v>6.63817414E-4</v>
      </c>
      <c r="D56">
        <v>-1.1909099999999999</v>
      </c>
      <c r="E56">
        <v>1.33596E-3</v>
      </c>
    </row>
    <row r="57" spans="1:5" x14ac:dyDescent="0.35">
      <c r="A57" t="s">
        <v>58</v>
      </c>
      <c r="B57">
        <v>-0.40390394299999999</v>
      </c>
      <c r="C57">
        <v>4.9027596200000004E-4</v>
      </c>
      <c r="D57">
        <v>-0.46426699999999999</v>
      </c>
      <c r="E57">
        <v>9.2372299999999999E-4</v>
      </c>
    </row>
    <row r="58" spans="1:5" x14ac:dyDescent="0.35">
      <c r="A58" t="s">
        <v>59</v>
      </c>
      <c r="B58">
        <v>-1.3219975999999901E-2</v>
      </c>
      <c r="C58">
        <v>-3.0271071740000001E-4</v>
      </c>
      <c r="D58">
        <v>0.54313900000000004</v>
      </c>
      <c r="E58">
        <v>-5.8109999999999998E-4</v>
      </c>
    </row>
    <row r="59" spans="1:5" x14ac:dyDescent="0.35">
      <c r="A59" t="s">
        <v>60</v>
      </c>
      <c r="B59">
        <v>0.76217485100000004</v>
      </c>
      <c r="C59" s="1">
        <v>-9.0917515999999995E-5</v>
      </c>
      <c r="D59">
        <v>1.2351099999999999</v>
      </c>
      <c r="E59">
        <v>-4.7624899999999999E-4</v>
      </c>
    </row>
    <row r="60" spans="1:5" x14ac:dyDescent="0.35">
      <c r="A60" t="s">
        <v>61</v>
      </c>
      <c r="B60">
        <v>0.127636417</v>
      </c>
      <c r="C60" s="1">
        <v>-9.5002111999999996E-5</v>
      </c>
      <c r="D60">
        <v>0.91615199999999997</v>
      </c>
      <c r="E60">
        <v>-5.5261700000000004E-4</v>
      </c>
    </row>
    <row r="61" spans="1:5" x14ac:dyDescent="0.35">
      <c r="A61" t="s">
        <v>62</v>
      </c>
      <c r="B61">
        <v>0.59567343939999995</v>
      </c>
      <c r="C61">
        <v>6.7593332999999996E-4</v>
      </c>
      <c r="D61">
        <v>0.39792100000000002</v>
      </c>
      <c r="E61">
        <v>1.1785000000000001E-3</v>
      </c>
    </row>
    <row r="62" spans="1:5" x14ac:dyDescent="0.35">
      <c r="A62" t="s">
        <v>63</v>
      </c>
      <c r="B62">
        <v>0.89476640500000004</v>
      </c>
      <c r="C62">
        <v>1.3924127460000001E-4</v>
      </c>
      <c r="D62">
        <v>0.92742999999999998</v>
      </c>
      <c r="E62">
        <v>4.09436E-4</v>
      </c>
    </row>
    <row r="63" spans="1:5" x14ac:dyDescent="0.35">
      <c r="A63" t="s">
        <v>64</v>
      </c>
      <c r="B63">
        <v>-7.8966956000000102E-2</v>
      </c>
      <c r="C63">
        <v>1.9875833700000001E-4</v>
      </c>
      <c r="D63">
        <v>-0.98415600000000003</v>
      </c>
      <c r="E63">
        <v>4.7552E-4</v>
      </c>
    </row>
    <row r="64" spans="1:5" x14ac:dyDescent="0.35">
      <c r="A64" t="s">
        <v>65</v>
      </c>
      <c r="B64">
        <v>-1.120137132</v>
      </c>
      <c r="C64">
        <v>-3.3141514679999999E-3</v>
      </c>
      <c r="D64">
        <v>-1.83558</v>
      </c>
      <c r="E64">
        <v>-6.0605299999999997E-3</v>
      </c>
    </row>
    <row r="65" spans="1:5" x14ac:dyDescent="0.35">
      <c r="A65" t="s">
        <v>66</v>
      </c>
      <c r="B65">
        <v>-0.56636540899999999</v>
      </c>
      <c r="C65">
        <v>7.1806965219999995E-4</v>
      </c>
      <c r="D65">
        <v>-0.31016100000000002</v>
      </c>
      <c r="E65">
        <v>8.4195199999999998E-4</v>
      </c>
    </row>
    <row r="66" spans="1:5" x14ac:dyDescent="0.35">
      <c r="A66" t="s">
        <v>67</v>
      </c>
      <c r="B66">
        <v>0.32459046600000002</v>
      </c>
      <c r="C66">
        <v>-2.5777790379999999E-3</v>
      </c>
      <c r="D66">
        <v>0.95507600000000004</v>
      </c>
      <c r="E66">
        <v>-5.0291499999999996E-3</v>
      </c>
    </row>
    <row r="67" spans="1:5" x14ac:dyDescent="0.35">
      <c r="A67" t="s">
        <v>68</v>
      </c>
      <c r="B67">
        <v>1.0642201410000001</v>
      </c>
      <c r="C67">
        <v>1.09023805E-4</v>
      </c>
      <c r="D67">
        <v>1.4793400000000001</v>
      </c>
      <c r="E67">
        <v>4.8299900000000002E-4</v>
      </c>
    </row>
    <row r="68" spans="1:5" x14ac:dyDescent="0.35">
      <c r="A68" t="s">
        <v>69</v>
      </c>
      <c r="B68">
        <v>0.68172432000000005</v>
      </c>
      <c r="C68">
        <v>2.0586668900000001E-4</v>
      </c>
      <c r="D68">
        <v>0.93210899999999997</v>
      </c>
      <c r="E68">
        <v>5.3204900000000004E-4</v>
      </c>
    </row>
    <row r="69" spans="1:5" x14ac:dyDescent="0.35">
      <c r="A69" t="s">
        <v>70</v>
      </c>
      <c r="B69">
        <v>0.79115192999999995</v>
      </c>
      <c r="C69" s="1">
        <v>4.8323488499999903E-5</v>
      </c>
      <c r="D69">
        <v>2.0789900000000001</v>
      </c>
      <c r="E69" s="1">
        <v>-6.6813500000000007E-5</v>
      </c>
    </row>
    <row r="70" spans="1:5" x14ac:dyDescent="0.35">
      <c r="A70" t="s">
        <v>71</v>
      </c>
      <c r="B70">
        <v>1.25476615</v>
      </c>
      <c r="C70">
        <v>-3.102358533E-3</v>
      </c>
      <c r="D70">
        <v>1.6948799999999999</v>
      </c>
      <c r="E70">
        <v>-5.9556799999999997E-3</v>
      </c>
    </row>
    <row r="71" spans="1:5" x14ac:dyDescent="0.35">
      <c r="A71" t="s">
        <v>72</v>
      </c>
      <c r="B71">
        <v>-0.34673130699999999</v>
      </c>
      <c r="C71">
        <v>-2.9276317414E-3</v>
      </c>
      <c r="D71">
        <v>-0.96899599999999997</v>
      </c>
      <c r="E71">
        <v>-5.0597100000000002E-3</v>
      </c>
    </row>
    <row r="72" spans="1:5" x14ac:dyDescent="0.35">
      <c r="A72" t="s">
        <v>73</v>
      </c>
      <c r="B72">
        <v>0.382743165</v>
      </c>
      <c r="C72">
        <v>-3.1618734449999999E-3</v>
      </c>
      <c r="D72">
        <v>0.495869</v>
      </c>
      <c r="E72">
        <v>-6.0217600000000001E-3</v>
      </c>
    </row>
    <row r="73" spans="1:5" x14ac:dyDescent="0.35">
      <c r="A73" t="s">
        <v>74</v>
      </c>
      <c r="B73">
        <v>-1.1621890308</v>
      </c>
      <c r="C73">
        <v>-3.0271071740000001E-4</v>
      </c>
      <c r="D73">
        <v>-1.4505600000000001</v>
      </c>
      <c r="E73">
        <v>-5.8109999999999998E-4</v>
      </c>
    </row>
    <row r="74" spans="1:5" x14ac:dyDescent="0.35">
      <c r="A74" t="s">
        <v>75</v>
      </c>
      <c r="B74">
        <v>0.29050587944</v>
      </c>
      <c r="C74">
        <v>1.0743744970000001E-3</v>
      </c>
      <c r="D74">
        <v>0.91980499999999998</v>
      </c>
      <c r="E74">
        <v>1.9163400000000001E-3</v>
      </c>
    </row>
    <row r="75" spans="1:5" x14ac:dyDescent="0.35">
      <c r="A75" t="s">
        <v>76</v>
      </c>
      <c r="B75">
        <v>0.75227665199999905</v>
      </c>
      <c r="C75">
        <v>-3.0416544479999999E-3</v>
      </c>
      <c r="D75">
        <v>1.2547999999999999</v>
      </c>
      <c r="E75">
        <v>-5.4058600000000002E-3</v>
      </c>
    </row>
    <row r="76" spans="1:5" x14ac:dyDescent="0.35">
      <c r="A76" t="s">
        <v>77</v>
      </c>
      <c r="B76">
        <v>0.61968134799999997</v>
      </c>
      <c r="C76">
        <v>0</v>
      </c>
      <c r="D76">
        <v>0.54048700000000005</v>
      </c>
      <c r="E76">
        <v>0</v>
      </c>
    </row>
    <row r="77" spans="1:5" x14ac:dyDescent="0.35">
      <c r="A77" t="s">
        <v>78</v>
      </c>
      <c r="B77">
        <v>7.4058696999999896E-2</v>
      </c>
      <c r="C77">
        <v>1.451674286E-4</v>
      </c>
      <c r="D77">
        <v>-0.79179299999999997</v>
      </c>
      <c r="E77" s="1">
        <v>-1.7762400000000001E-5</v>
      </c>
    </row>
    <row r="78" spans="1:5" x14ac:dyDescent="0.35">
      <c r="A78" t="s">
        <v>79</v>
      </c>
      <c r="B78">
        <v>1.1431306050000001</v>
      </c>
      <c r="C78">
        <v>2.0586668900000001E-4</v>
      </c>
      <c r="D78">
        <v>2.05044</v>
      </c>
      <c r="E78">
        <v>5.3204900000000004E-4</v>
      </c>
    </row>
    <row r="79" spans="1:5" x14ac:dyDescent="0.35">
      <c r="A79" t="s">
        <v>80</v>
      </c>
      <c r="B79">
        <v>0.59697842899999998</v>
      </c>
      <c r="C79">
        <v>-3.0416544479999999E-3</v>
      </c>
      <c r="D79">
        <v>0.69419900000000001</v>
      </c>
      <c r="E79">
        <v>-5.4058600000000002E-3</v>
      </c>
    </row>
    <row r="80" spans="1:5" x14ac:dyDescent="0.35">
      <c r="A80" t="s">
        <v>81</v>
      </c>
      <c r="B80">
        <v>6.6285297999999895E-2</v>
      </c>
      <c r="C80">
        <v>4.04626026E-4</v>
      </c>
      <c r="D80">
        <v>-0.110764</v>
      </c>
      <c r="E80">
        <v>1.00757E-3</v>
      </c>
    </row>
    <row r="81" spans="1:5" x14ac:dyDescent="0.35">
      <c r="A81" t="s">
        <v>82</v>
      </c>
      <c r="B81">
        <v>-0.76075561400000002</v>
      </c>
      <c r="C81" s="1">
        <v>-8.9735386140000001E-5</v>
      </c>
      <c r="D81">
        <v>-0.71018099999999995</v>
      </c>
      <c r="E81" s="1">
        <v>7.4782599999999998E-6</v>
      </c>
    </row>
    <row r="82" spans="1:5" x14ac:dyDescent="0.35">
      <c r="A82" t="s">
        <v>83</v>
      </c>
      <c r="B82">
        <v>-0.12587014399999999</v>
      </c>
      <c r="C82">
        <v>4.2773457219999998E-4</v>
      </c>
      <c r="D82">
        <v>-1.0704499999999999</v>
      </c>
      <c r="E82">
        <v>8.7747699999999999E-4</v>
      </c>
    </row>
    <row r="83" spans="1:5" x14ac:dyDescent="0.35">
      <c r="A83" t="s">
        <v>84</v>
      </c>
      <c r="B83">
        <v>0.54120675500000004</v>
      </c>
      <c r="C83">
        <v>7.5447861499999998E-4</v>
      </c>
      <c r="D83">
        <v>1.5116000000000001</v>
      </c>
      <c r="E83">
        <v>1.03813E-3</v>
      </c>
    </row>
    <row r="84" spans="1:5" x14ac:dyDescent="0.35">
      <c r="A84" t="s">
        <v>85</v>
      </c>
      <c r="B84">
        <v>-1.1467544350000001</v>
      </c>
      <c r="C84" s="1">
        <v>-3.02182638E-5</v>
      </c>
      <c r="D84">
        <v>-0.490205</v>
      </c>
      <c r="E84" s="1">
        <v>7.3562199999999998E-5</v>
      </c>
    </row>
    <row r="85" spans="1:5" x14ac:dyDescent="0.35">
      <c r="A85" t="s">
        <v>86</v>
      </c>
      <c r="B85">
        <v>0.533358471</v>
      </c>
      <c r="C85">
        <v>-3.45220572E-3</v>
      </c>
      <c r="D85">
        <v>0.103253</v>
      </c>
      <c r="E85">
        <v>-5.9862300000000004E-3</v>
      </c>
    </row>
    <row r="86" spans="1:5" x14ac:dyDescent="0.35">
      <c r="A86" t="s">
        <v>87</v>
      </c>
      <c r="B86">
        <v>0.21626611400000001</v>
      </c>
      <c r="C86">
        <v>-3.307042555E-3</v>
      </c>
      <c r="D86">
        <v>0.92504200000000003</v>
      </c>
      <c r="E86">
        <v>-6.0039999999999998E-3</v>
      </c>
    </row>
    <row r="87" spans="1:5" x14ac:dyDescent="0.35">
      <c r="A87" t="s">
        <v>88</v>
      </c>
      <c r="B87">
        <v>-0.35438607500000002</v>
      </c>
      <c r="C87">
        <v>-4.7217052895000001E-4</v>
      </c>
      <c r="D87">
        <v>-0.60363299999999998</v>
      </c>
      <c r="E87">
        <v>-9.1697399999999998E-4</v>
      </c>
    </row>
    <row r="88" spans="1:5" x14ac:dyDescent="0.35">
      <c r="A88" t="s">
        <v>89</v>
      </c>
      <c r="B88">
        <v>-0.57236575700000003</v>
      </c>
      <c r="C88">
        <v>0</v>
      </c>
      <c r="D88">
        <v>-0.45535599999999998</v>
      </c>
      <c r="E88">
        <v>0</v>
      </c>
    </row>
    <row r="89" spans="1:5" x14ac:dyDescent="0.35">
      <c r="A89" t="s">
        <v>90</v>
      </c>
      <c r="B89">
        <v>-0.785834001</v>
      </c>
      <c r="C89">
        <v>2.218678E-4</v>
      </c>
      <c r="D89">
        <v>0.234899</v>
      </c>
      <c r="E89">
        <v>3.45428E-4</v>
      </c>
    </row>
    <row r="90" spans="1:5" x14ac:dyDescent="0.35">
      <c r="A90" t="s">
        <v>91</v>
      </c>
      <c r="B90">
        <v>-9.4388894199999906E-2</v>
      </c>
      <c r="C90">
        <v>-2.957850894E-3</v>
      </c>
      <c r="D90">
        <v>2.1907800000000002E-2</v>
      </c>
      <c r="E90">
        <v>-4.98615E-3</v>
      </c>
    </row>
    <row r="91" spans="1:5" x14ac:dyDescent="0.35">
      <c r="A91" t="s">
        <v>92</v>
      </c>
      <c r="B91">
        <v>-0.82107919500000004</v>
      </c>
      <c r="C91">
        <v>0</v>
      </c>
      <c r="D91">
        <v>-1.1103700000000001</v>
      </c>
      <c r="E91">
        <v>0</v>
      </c>
    </row>
    <row r="92" spans="1:5" x14ac:dyDescent="0.35">
      <c r="A92" t="s">
        <v>93</v>
      </c>
      <c r="B92">
        <v>3.6344758999999997E-2</v>
      </c>
      <c r="C92">
        <v>1.3924127460000001E-4</v>
      </c>
      <c r="D92">
        <v>0.83766700000000005</v>
      </c>
      <c r="E92">
        <v>4.09436E-4</v>
      </c>
    </row>
    <row r="93" spans="1:5" x14ac:dyDescent="0.35">
      <c r="A93" t="s">
        <v>94</v>
      </c>
      <c r="B93">
        <v>-0.62156271372000005</v>
      </c>
      <c r="C93">
        <v>-3.018549808E-3</v>
      </c>
      <c r="D93">
        <v>-1.1402000000000001</v>
      </c>
      <c r="E93">
        <v>-5.5359600000000004E-3</v>
      </c>
    </row>
    <row r="94" spans="1:5" x14ac:dyDescent="0.35">
      <c r="A94" t="s">
        <v>95</v>
      </c>
      <c r="B94">
        <v>0.44388849200000002</v>
      </c>
      <c r="C94">
        <v>3.480103935E-4</v>
      </c>
      <c r="D94">
        <v>0.87014199999999997</v>
      </c>
      <c r="E94">
        <v>5.3412499999999999E-4</v>
      </c>
    </row>
    <row r="95" spans="1:5" x14ac:dyDescent="0.35">
      <c r="A95" t="s">
        <v>96</v>
      </c>
      <c r="B95">
        <v>0.547100908</v>
      </c>
      <c r="C95">
        <v>-3.0780646264000002E-3</v>
      </c>
      <c r="D95">
        <v>0.53953399999999996</v>
      </c>
      <c r="E95">
        <v>-5.60204E-3</v>
      </c>
    </row>
    <row r="96" spans="1:5" x14ac:dyDescent="0.35">
      <c r="A96" t="s">
        <v>97</v>
      </c>
      <c r="B96">
        <v>-0.12762642499999999</v>
      </c>
      <c r="C96" s="1">
        <v>5.54320649E-5</v>
      </c>
      <c r="D96">
        <v>-0.22012899999999999</v>
      </c>
      <c r="E96" s="1">
        <v>-1.02841E-5</v>
      </c>
    </row>
    <row r="97" spans="1:5" x14ac:dyDescent="0.35">
      <c r="A97" t="s">
        <v>98</v>
      </c>
      <c r="B97">
        <v>-0.18905514043999999</v>
      </c>
      <c r="C97" s="1">
        <v>5.54320649E-5</v>
      </c>
      <c r="D97">
        <v>-4.4690399999999996E-3</v>
      </c>
      <c r="E97" s="1">
        <v>-1.02841E-5</v>
      </c>
    </row>
    <row r="99" spans="1:5" x14ac:dyDescent="0.35">
      <c r="B99" t="s">
        <v>108</v>
      </c>
      <c r="C99" t="s">
        <v>109</v>
      </c>
      <c r="D99" t="s">
        <v>110</v>
      </c>
      <c r="E99" t="s">
        <v>111</v>
      </c>
    </row>
    <row r="100" spans="1:5" x14ac:dyDescent="0.35">
      <c r="A100" t="s">
        <v>101</v>
      </c>
      <c r="B100">
        <f>COUNT(C2:C97)</f>
        <v>96</v>
      </c>
      <c r="C100">
        <f>COUNT(B2:B97)</f>
        <v>96</v>
      </c>
      <c r="D100">
        <f>COUNT(D2:D97)</f>
        <v>96</v>
      </c>
      <c r="E100">
        <f>COUNT(E2:E97)</f>
        <v>96</v>
      </c>
    </row>
    <row r="101" spans="1:5" x14ac:dyDescent="0.35">
      <c r="A101" t="s">
        <v>102</v>
      </c>
      <c r="B101">
        <f>AVERAGE(C2:C97)</f>
        <v>-6.5691682032625019E-4</v>
      </c>
      <c r="C101">
        <f>AVERAGE(B2:B97)</f>
        <v>-6.584901100416661E-2</v>
      </c>
      <c r="D101">
        <f>AVERAGE(D2:D97)</f>
        <v>4.4803425833333355E-2</v>
      </c>
      <c r="E101" s="1">
        <f>AVERAGE(E2:E97)</f>
        <v>-1.2865378970833331E-3</v>
      </c>
    </row>
    <row r="102" spans="1:5" x14ac:dyDescent="0.35">
      <c r="A102" t="s">
        <v>103</v>
      </c>
      <c r="B102">
        <f>MEDIAN(C2:C97)</f>
        <v>9.3782694500000008E-5</v>
      </c>
      <c r="C102">
        <f>MEDIAN(B2:B97)</f>
        <v>-8.1760378999999994E-2</v>
      </c>
      <c r="D102">
        <f>MEDIAN(D2:D97)</f>
        <v>-5.7072099999999999E-3</v>
      </c>
      <c r="E102" s="1">
        <f>MEDIAN(E2:E97)</f>
        <v>0</v>
      </c>
    </row>
    <row r="103" spans="1:5" x14ac:dyDescent="0.35">
      <c r="A103" t="s">
        <v>104</v>
      </c>
      <c r="B103">
        <f>_xlfn.STDEV.S(C2:C97)</f>
        <v>1.5171337343437505E-3</v>
      </c>
      <c r="C103">
        <f>_xlfn.STDEV.S(B2:B97)</f>
        <v>0.67653849943311706</v>
      </c>
      <c r="D103">
        <f>_xlfn.STDEV.S(D2:D97)</f>
        <v>1.0614503813209841</v>
      </c>
      <c r="E103">
        <f>_xlfn.STDEV.S(E2:E97)</f>
        <v>2.7412566027866835E-3</v>
      </c>
    </row>
    <row r="104" spans="1:5" x14ac:dyDescent="0.35">
      <c r="A104" t="s">
        <v>105</v>
      </c>
      <c r="B104">
        <f>_xlfn.QUARTILE.INC(C2:C96,3)-_xlfn.QUARTILE.INC(C2:C96,1)</f>
        <v>3.0004762075E-3</v>
      </c>
      <c r="C104">
        <f>_xlfn.QUARTILE.INC(B2:B97,3)-_xlfn.QUARTILE.INC(B2:B97,1)</f>
        <v>0.85133109679999974</v>
      </c>
      <c r="D104">
        <f>_xlfn.QUARTILE.INC(D2:D97,3)-_xlfn.QUARTILE.INC(D2:D97,1)</f>
        <v>1.4251800000000001</v>
      </c>
      <c r="E104">
        <f>_xlfn.QUARTILE.INC(E2:E97,3)-_xlfn.QUARTILE.INC(E2:E97,1)</f>
        <v>5.5275979999999999E-3</v>
      </c>
    </row>
    <row r="105" spans="1:5" x14ac:dyDescent="0.35">
      <c r="A105" t="s">
        <v>106</v>
      </c>
      <c r="B105">
        <f>MIN(C2:C97)</f>
        <v>-3.5795336299999998E-3</v>
      </c>
      <c r="C105">
        <f>MIN(B2:B97)</f>
        <v>-2.4318729480000001</v>
      </c>
      <c r="D105">
        <f>MIN(D2:D97)</f>
        <v>-2.7684199999999999</v>
      </c>
      <c r="E105" s="1">
        <f>MIN(E2:E97)</f>
        <v>-6.6586600000000003E-3</v>
      </c>
    </row>
    <row r="106" spans="1:5" x14ac:dyDescent="0.35">
      <c r="A106" t="s">
        <v>107</v>
      </c>
      <c r="B106">
        <f>MAX(C2:C97)</f>
        <v>1.0743744970000001E-3</v>
      </c>
      <c r="C106">
        <f>MAX(B2:B97)</f>
        <v>1.4685264499999999</v>
      </c>
      <c r="D106">
        <f>MAX(D2:D97)</f>
        <v>2.0986600000000002</v>
      </c>
      <c r="E106" s="1">
        <f>MAX(E2:E97)</f>
        <v>1.9163400000000001E-3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 Mishra</dc:creator>
  <cp:lastModifiedBy>Soumya Mishra</cp:lastModifiedBy>
  <dcterms:created xsi:type="dcterms:W3CDTF">2026-10-02T20:57:27Z</dcterms:created>
  <dcterms:modified xsi:type="dcterms:W3CDTF">2026-10-03T09:35:01Z</dcterms:modified>
</cp:coreProperties>
</file>