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\Downloads\Gneova_Stroke\Experiment\"/>
    </mc:Choice>
  </mc:AlternateContent>
  <xr:revisionPtr revIDLastSave="0" documentId="13_ncr:1_{614AFBDC-91B8-4694-9078-6E6E8E4010EF}" xr6:coauthVersionLast="47" xr6:coauthVersionMax="47" xr10:uidLastSave="{00000000-0000-0000-0000-000000000000}"/>
  <bookViews>
    <workbookView xWindow="-90" yWindow="0" windowWidth="9780" windowHeight="10170" xr2:uid="{9998F93D-DA22-46DD-80FE-BCE587171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1" l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B92" i="1"/>
  <c r="B93" i="1"/>
  <c r="B95" i="1"/>
  <c r="B94" i="1"/>
  <c r="B91" i="1"/>
  <c r="B90" i="1"/>
  <c r="B89" i="1"/>
</calcChain>
</file>

<file path=xl/sharedStrings.xml><?xml version="1.0" encoding="utf-8"?>
<sst xmlns="http://schemas.openxmlformats.org/spreadsheetml/2006/main" count="102" uniqueCount="101">
  <si>
    <t>Sample ID</t>
  </si>
  <si>
    <t>SAKSHAM-PRS</t>
  </si>
  <si>
    <t>SAKSHAM-PRS variants</t>
  </si>
  <si>
    <t>PRScs-european</t>
  </si>
  <si>
    <t>PRScs-european variants</t>
  </si>
  <si>
    <t>HG03006</t>
  </si>
  <si>
    <t>HG03007</t>
  </si>
  <si>
    <t>HG03009</t>
  </si>
  <si>
    <t>HG03012</t>
  </si>
  <si>
    <t>HG03585</t>
  </si>
  <si>
    <t>HG03589</t>
  </si>
  <si>
    <t>HG03593</t>
  </si>
  <si>
    <t>HG03594</t>
  </si>
  <si>
    <t>HG03595</t>
  </si>
  <si>
    <t>HG03598</t>
  </si>
  <si>
    <t>HG03600</t>
  </si>
  <si>
    <t>HG03603</t>
  </si>
  <si>
    <t>HG03604</t>
  </si>
  <si>
    <t>HG03607</t>
  </si>
  <si>
    <t>HG03611</t>
  </si>
  <si>
    <t>HG03615</t>
  </si>
  <si>
    <t>HG03616</t>
  </si>
  <si>
    <t>HG03793</t>
  </si>
  <si>
    <t>HG03796</t>
  </si>
  <si>
    <t>HG03800</t>
  </si>
  <si>
    <t>HG03802</t>
  </si>
  <si>
    <t>HG03803</t>
  </si>
  <si>
    <t>HG03805</t>
  </si>
  <si>
    <t>HG03808</t>
  </si>
  <si>
    <t>HG03809</t>
  </si>
  <si>
    <t>HG03812</t>
  </si>
  <si>
    <t>HG03814</t>
  </si>
  <si>
    <t>HG03815</t>
  </si>
  <si>
    <t>HG03817</t>
  </si>
  <si>
    <t>HG03821</t>
  </si>
  <si>
    <t>HG03823</t>
  </si>
  <si>
    <t>HG03824</t>
  </si>
  <si>
    <t>HG03826</t>
  </si>
  <si>
    <t>HG03829</t>
  </si>
  <si>
    <t>HG03830</t>
  </si>
  <si>
    <t>HG03832</t>
  </si>
  <si>
    <t>HG03833</t>
  </si>
  <si>
    <t>HG03902</t>
  </si>
  <si>
    <t>HG03905</t>
  </si>
  <si>
    <t>HG03907</t>
  </si>
  <si>
    <t>HG03908</t>
  </si>
  <si>
    <t>HG03910</t>
  </si>
  <si>
    <t>HG03911</t>
  </si>
  <si>
    <t>HG03913</t>
  </si>
  <si>
    <t>HG03914</t>
  </si>
  <si>
    <t>HG03916</t>
  </si>
  <si>
    <t>HG03917</t>
  </si>
  <si>
    <t>HG03919</t>
  </si>
  <si>
    <t>HG03920</t>
  </si>
  <si>
    <t>HG03922</t>
  </si>
  <si>
    <t>HG03925</t>
  </si>
  <si>
    <t>HG03926</t>
  </si>
  <si>
    <t>HG03928</t>
  </si>
  <si>
    <t>HG03931</t>
  </si>
  <si>
    <t>HG03934</t>
  </si>
  <si>
    <t>HG03937</t>
  </si>
  <si>
    <t>HG03940</t>
  </si>
  <si>
    <t>HG03941</t>
  </si>
  <si>
    <t>HG04131</t>
  </si>
  <si>
    <t>HG04134</t>
  </si>
  <si>
    <t>HG04140</t>
  </si>
  <si>
    <t>HG04141</t>
  </si>
  <si>
    <t>HG04144</t>
  </si>
  <si>
    <t>HG04146</t>
  </si>
  <si>
    <t>HG04152</t>
  </si>
  <si>
    <t>HG04153</t>
  </si>
  <si>
    <t>HG04155</t>
  </si>
  <si>
    <t>HG04156</t>
  </si>
  <si>
    <t>HG04158</t>
  </si>
  <si>
    <t>HG04159</t>
  </si>
  <si>
    <t>HG04161</t>
  </si>
  <si>
    <t>HG04162</t>
  </si>
  <si>
    <t>HG04164</t>
  </si>
  <si>
    <t>HG04171</t>
  </si>
  <si>
    <t>HG04173</t>
  </si>
  <si>
    <t>HG04176</t>
  </si>
  <si>
    <t>HG04177</t>
  </si>
  <si>
    <t>HG04180</t>
  </si>
  <si>
    <t>HG04182</t>
  </si>
  <si>
    <t>HG04183</t>
  </si>
  <si>
    <t>HG04185</t>
  </si>
  <si>
    <t>HG04186</t>
  </si>
  <si>
    <t>HG04188</t>
  </si>
  <si>
    <t>HG04189</t>
  </si>
  <si>
    <t>HG04194</t>
  </si>
  <si>
    <t>HG04195</t>
  </si>
  <si>
    <t>N</t>
  </si>
  <si>
    <t>Mean</t>
  </si>
  <si>
    <t>Median</t>
  </si>
  <si>
    <t>SD</t>
  </si>
  <si>
    <t>IQR</t>
  </si>
  <si>
    <t>Min</t>
  </si>
  <si>
    <t>Max</t>
  </si>
  <si>
    <t>SAKSHAM-prs variants</t>
  </si>
  <si>
    <t>SAKSHAM PRS</t>
  </si>
  <si>
    <t xml:space="preserve">PRScs-european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</si>
</sst>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9722-96DB-4B37-AF04-A4759880D282}">
  <dimension ref="A1:E95"/>
  <sheetViews>
    <sheetView tabSelected="1" topLeftCell="A76" workbookViewId="0">
      <selection activeCell="B89" sqref="B89"/>
    </sheetView>
  </sheetViews>
  <sheetFormatPr defaultRowHeight="14.5"/>
  <cols>
    <col min="1" max="1" width="15.7265625" customWidth="1"/>
    <col min="2" max="2" width="23.26953125" customWidth="1"/>
    <col min="3" max="3" width="21.54296875" customWidth="1"/>
    <col min="4" max="4" width="15.54296875" customWidth="1"/>
    <col min="5" max="5" width="22.81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-0.17564616499999999</v>
      </c>
      <c r="C2">
        <v>-2.9560231815E-4</v>
      </c>
      <c r="D2">
        <v>-0.66076500000000005</v>
      </c>
      <c r="E2">
        <v>-5.2457100000000004E-4</v>
      </c>
    </row>
    <row r="3" spans="1:5">
      <c r="A3" t="s">
        <v>6</v>
      </c>
      <c r="B3">
        <v>-0.221007757</v>
      </c>
      <c r="C3">
        <v>1.75649208999999E-4</v>
      </c>
      <c r="D3">
        <v>-0.75704700000000003</v>
      </c>
      <c r="E3">
        <v>6.0561199999999995E-4</v>
      </c>
    </row>
    <row r="4" spans="1:5">
      <c r="A4" t="s">
        <v>7</v>
      </c>
      <c r="B4">
        <v>-0.64814422649999903</v>
      </c>
      <c r="C4" s="1">
        <v>5.54320649E-5</v>
      </c>
      <c r="D4">
        <v>-0.71307399999999999</v>
      </c>
      <c r="E4" s="1">
        <v>-1.02841E-5</v>
      </c>
    </row>
    <row r="5" spans="1:5">
      <c r="A5" t="s">
        <v>8</v>
      </c>
      <c r="B5">
        <v>-0.16091185399999999</v>
      </c>
      <c r="C5">
        <v>-2.9560057559999998E-3</v>
      </c>
      <c r="D5">
        <v>-0.45816800000000002</v>
      </c>
      <c r="E5">
        <v>-5.4897100000000001E-3</v>
      </c>
    </row>
    <row r="6" spans="1:5">
      <c r="A6" t="s">
        <v>9</v>
      </c>
      <c r="B6">
        <v>-0.80865346799999904</v>
      </c>
      <c r="C6">
        <v>-3.3926908080000001E-3</v>
      </c>
      <c r="D6">
        <v>-1.30457</v>
      </c>
      <c r="E6">
        <v>-5.9201499999999999E-3</v>
      </c>
    </row>
    <row r="7" spans="1:5">
      <c r="A7" t="s">
        <v>10</v>
      </c>
      <c r="B7">
        <v>-1.283298324</v>
      </c>
      <c r="C7" s="1">
        <v>-6.6625541499999998E-5</v>
      </c>
      <c r="D7">
        <v>-1.40178</v>
      </c>
      <c r="E7">
        <v>-1.2261300000000001E-4</v>
      </c>
    </row>
    <row r="8" spans="1:5">
      <c r="A8" t="s">
        <v>11</v>
      </c>
      <c r="B8">
        <v>-0.49213098500000002</v>
      </c>
      <c r="C8">
        <v>-3.1677986910000002E-3</v>
      </c>
      <c r="D8">
        <v>-1.2969200000000001</v>
      </c>
      <c r="E8">
        <v>-5.5945600000000002E-3</v>
      </c>
    </row>
    <row r="9" spans="1:5">
      <c r="A9" t="s">
        <v>12</v>
      </c>
      <c r="B9">
        <v>-1.0483963716</v>
      </c>
      <c r="C9">
        <v>4.04626026E-4</v>
      </c>
      <c r="D9">
        <v>-1.2740800000000001</v>
      </c>
      <c r="E9">
        <v>1.00757E-3</v>
      </c>
    </row>
    <row r="10" spans="1:5">
      <c r="A10" t="s">
        <v>13</v>
      </c>
      <c r="B10">
        <v>-0.74011347599999999</v>
      </c>
      <c r="C10">
        <v>6.0930950499999998E-4</v>
      </c>
      <c r="D10">
        <v>-0.92308800000000002</v>
      </c>
      <c r="E10">
        <v>1.0558900000000001E-3</v>
      </c>
    </row>
    <row r="11" spans="1:5">
      <c r="A11" t="s">
        <v>14</v>
      </c>
      <c r="B11">
        <v>2.7338845699999999E-2</v>
      </c>
      <c r="C11">
        <v>-2.7895718898E-3</v>
      </c>
      <c r="D11">
        <v>4.9660700000000002E-2</v>
      </c>
      <c r="E11">
        <v>-5.1339999999999997E-3</v>
      </c>
    </row>
    <row r="12" spans="1:5">
      <c r="A12" t="s">
        <v>15</v>
      </c>
      <c r="B12">
        <v>0.53871499270000001</v>
      </c>
      <c r="C12">
        <v>-3.482424883E-3</v>
      </c>
      <c r="D12">
        <v>2.32827E-2</v>
      </c>
      <c r="E12">
        <v>-5.9126700000000001E-3</v>
      </c>
    </row>
    <row r="13" spans="1:5">
      <c r="A13" t="s">
        <v>16</v>
      </c>
      <c r="B13">
        <v>0.77974797799999995</v>
      </c>
      <c r="C13" s="1">
        <v>7.8541584000000003E-5</v>
      </c>
      <c r="D13">
        <v>1.01566</v>
      </c>
      <c r="E13">
        <v>-1.40376E-4</v>
      </c>
    </row>
    <row r="14" spans="1:5">
      <c r="A14" t="s">
        <v>17</v>
      </c>
      <c r="B14">
        <v>1.12113</v>
      </c>
      <c r="C14">
        <v>7.0022768599999996E-4</v>
      </c>
      <c r="D14">
        <v>1.04541</v>
      </c>
      <c r="E14">
        <v>1.53214E-3</v>
      </c>
    </row>
    <row r="15" spans="1:5">
      <c r="A15" t="s">
        <v>18</v>
      </c>
      <c r="B15">
        <v>-0.77890147799999998</v>
      </c>
      <c r="C15">
        <v>6.3952764999999998E-4</v>
      </c>
      <c r="D15">
        <v>-0.24210200000000001</v>
      </c>
      <c r="E15">
        <v>9.8232799999999998E-4</v>
      </c>
    </row>
    <row r="16" spans="1:5">
      <c r="A16" t="s">
        <v>19</v>
      </c>
      <c r="B16">
        <v>0.44771682149999997</v>
      </c>
      <c r="C16">
        <v>1.451674286E-4</v>
      </c>
      <c r="D16">
        <v>0.73457700000000004</v>
      </c>
      <c r="E16" s="1">
        <v>-1.7762400000000001E-5</v>
      </c>
    </row>
    <row r="17" spans="1:5">
      <c r="A17" t="s">
        <v>20</v>
      </c>
      <c r="B17">
        <v>-0.56697114449999997</v>
      </c>
      <c r="C17" s="1">
        <v>-3.02182638E-5</v>
      </c>
      <c r="D17">
        <v>-0.96252400000000005</v>
      </c>
      <c r="E17" s="1">
        <v>7.3562199999999998E-5</v>
      </c>
    </row>
    <row r="18" spans="1:5">
      <c r="A18" t="s">
        <v>21</v>
      </c>
      <c r="B18">
        <v>-0.35731724999999998</v>
      </c>
      <c r="C18">
        <v>1.16132157E-4</v>
      </c>
      <c r="D18">
        <v>-0.57110799999999995</v>
      </c>
      <c r="E18">
        <v>5.3952799999999995E-4</v>
      </c>
    </row>
    <row r="19" spans="1:5">
      <c r="A19" t="s">
        <v>22</v>
      </c>
      <c r="B19">
        <v>-4.46645721000002E-3</v>
      </c>
      <c r="C19">
        <v>-3.5129098050000001E-3</v>
      </c>
      <c r="D19">
        <v>-0.13219600000000001</v>
      </c>
      <c r="E19">
        <v>-6.5360499999999998E-3</v>
      </c>
    </row>
    <row r="20" spans="1:5">
      <c r="A20" t="s">
        <v>23</v>
      </c>
      <c r="B20">
        <v>1.2155495329999999</v>
      </c>
      <c r="C20" s="1">
        <v>-5.2665800000000398E-6</v>
      </c>
      <c r="D20">
        <v>0.89480300000000002</v>
      </c>
      <c r="E20">
        <v>-5.6009500000000004E-4</v>
      </c>
    </row>
    <row r="21" spans="1:5">
      <c r="A21" t="s">
        <v>24</v>
      </c>
      <c r="B21">
        <v>-5.0832361999999999E-2</v>
      </c>
      <c r="C21">
        <v>1.3397413359999999E-4</v>
      </c>
      <c r="D21">
        <v>-0.60098300000000004</v>
      </c>
      <c r="E21">
        <v>-1.5066E-4</v>
      </c>
    </row>
    <row r="22" spans="1:5">
      <c r="A22" t="s">
        <v>25</v>
      </c>
      <c r="B22">
        <v>1.2384394699999901</v>
      </c>
      <c r="C22">
        <v>-3.7478073799999999E-3</v>
      </c>
      <c r="D22">
        <v>1.1933499999999999</v>
      </c>
      <c r="E22">
        <v>-6.5107999999999997E-3</v>
      </c>
    </row>
    <row r="23" spans="1:5">
      <c r="A23" t="s">
        <v>26</v>
      </c>
      <c r="B23">
        <v>-1.078195448</v>
      </c>
      <c r="C23">
        <v>2.8849333109999997E-4</v>
      </c>
      <c r="D23">
        <v>-0.79430000000000001</v>
      </c>
      <c r="E23">
        <v>4.6804099999999999E-4</v>
      </c>
    </row>
    <row r="24" spans="1:5">
      <c r="A24" t="s">
        <v>27</v>
      </c>
      <c r="B24">
        <v>-9.1780820000000093E-3</v>
      </c>
      <c r="C24">
        <v>-1.80652943999999E-4</v>
      </c>
      <c r="D24">
        <v>-1.0468200000000001</v>
      </c>
      <c r="E24">
        <v>-4.6877099999999999E-4</v>
      </c>
    </row>
    <row r="25" spans="1:5">
      <c r="A25" t="s">
        <v>28</v>
      </c>
      <c r="B25">
        <v>0.30121387519999998</v>
      </c>
      <c r="C25">
        <v>3.2490023199999998E-4</v>
      </c>
      <c r="D25">
        <v>-3.3751799999999998E-2</v>
      </c>
      <c r="E25">
        <v>6.6421600000000003E-4</v>
      </c>
    </row>
    <row r="26" spans="1:5">
      <c r="A26" t="s">
        <v>29</v>
      </c>
      <c r="B26">
        <v>0.33508228800000001</v>
      </c>
      <c r="C26">
        <v>2.5419145799999998E-4</v>
      </c>
      <c r="D26">
        <v>1.3261700000000001</v>
      </c>
      <c r="E26">
        <v>4.6523700000000002E-4</v>
      </c>
    </row>
    <row r="27" spans="1:5">
      <c r="A27" t="s">
        <v>30</v>
      </c>
      <c r="B27">
        <v>-2.8967906480000001</v>
      </c>
      <c r="C27">
        <v>2.8440836660000002E-4</v>
      </c>
      <c r="D27">
        <v>-2.82701</v>
      </c>
      <c r="E27">
        <v>3.9167299999999999E-4</v>
      </c>
    </row>
    <row r="28" spans="1:5">
      <c r="A28" t="s">
        <v>31</v>
      </c>
      <c r="B28">
        <v>-0.51441600099999996</v>
      </c>
      <c r="C28">
        <v>-2.8126821189999999E-3</v>
      </c>
      <c r="D28">
        <v>-0.56887799999999999</v>
      </c>
      <c r="E28">
        <v>-5.0039100000000003E-3</v>
      </c>
    </row>
    <row r="29" spans="1:5">
      <c r="A29" t="s">
        <v>32</v>
      </c>
      <c r="B29">
        <v>-0.25617362719999998</v>
      </c>
      <c r="C29">
        <v>1.3924127460000001E-4</v>
      </c>
      <c r="D29">
        <v>-0.21324100000000001</v>
      </c>
      <c r="E29">
        <v>4.09436E-4</v>
      </c>
    </row>
    <row r="30" spans="1:5">
      <c r="A30" t="s">
        <v>33</v>
      </c>
      <c r="B30">
        <v>-0.7785153708</v>
      </c>
      <c r="C30">
        <v>7.5974238999999995E-4</v>
      </c>
      <c r="D30">
        <v>-1.24525</v>
      </c>
      <c r="E30">
        <v>1.59822E-3</v>
      </c>
    </row>
    <row r="31" spans="1:5">
      <c r="A31" t="s">
        <v>34</v>
      </c>
      <c r="B31">
        <v>-0.15663137799999999</v>
      </c>
      <c r="C31" s="1">
        <v>-3.02182638E-5</v>
      </c>
      <c r="D31">
        <v>-0.299819</v>
      </c>
      <c r="E31" s="1">
        <v>7.3562199999999998E-5</v>
      </c>
    </row>
    <row r="32" spans="1:5">
      <c r="A32" t="s">
        <v>35</v>
      </c>
      <c r="B32">
        <v>-0.27252474640000002</v>
      </c>
      <c r="C32">
        <v>-3.45220572E-3</v>
      </c>
      <c r="D32">
        <v>-4.10424E-2</v>
      </c>
      <c r="E32">
        <v>-5.9862300000000004E-3</v>
      </c>
    </row>
    <row r="33" spans="1:5">
      <c r="A33" t="s">
        <v>36</v>
      </c>
      <c r="B33">
        <v>-0.46480871200000001</v>
      </c>
      <c r="C33">
        <v>3.51034342E-4</v>
      </c>
      <c r="D33">
        <v>-0.10227600000000001</v>
      </c>
      <c r="E33">
        <v>5.1428699999999999E-4</v>
      </c>
    </row>
    <row r="34" spans="1:5">
      <c r="A34" t="s">
        <v>37</v>
      </c>
      <c r="B34">
        <v>-7.5456858999999904E-2</v>
      </c>
      <c r="C34">
        <v>2.8322666149999999E-4</v>
      </c>
      <c r="D34">
        <v>0.39272600000000002</v>
      </c>
      <c r="E34" s="1">
        <v>-9.2054100000000004E-5</v>
      </c>
    </row>
    <row r="35" spans="1:5">
      <c r="A35" t="s">
        <v>38</v>
      </c>
      <c r="B35">
        <v>-0.55753770000000002</v>
      </c>
      <c r="C35">
        <v>0</v>
      </c>
      <c r="D35">
        <v>-1.0193099999999999</v>
      </c>
      <c r="E35">
        <v>0</v>
      </c>
    </row>
    <row r="36" spans="1:5">
      <c r="A36" t="s">
        <v>39</v>
      </c>
      <c r="B36">
        <v>0.26304662299999998</v>
      </c>
      <c r="C36">
        <v>5.5690371400000005E-4</v>
      </c>
      <c r="D36">
        <v>1.00387</v>
      </c>
      <c r="E36">
        <v>1.04634E-3</v>
      </c>
    </row>
    <row r="37" spans="1:5">
      <c r="A37" t="s">
        <v>40</v>
      </c>
      <c r="B37">
        <v>-0.40235509850000001</v>
      </c>
      <c r="C37">
        <v>-3.459320243E-3</v>
      </c>
      <c r="D37">
        <v>-0.58894899999999994</v>
      </c>
      <c r="E37">
        <v>-6.0427700000000003E-3</v>
      </c>
    </row>
    <row r="38" spans="1:5">
      <c r="A38" t="s">
        <v>41</v>
      </c>
      <c r="B38">
        <v>9.3117135999999899E-3</v>
      </c>
      <c r="C38">
        <v>-3.1041981650000001E-3</v>
      </c>
      <c r="D38">
        <v>-1.9638900000000001E-2</v>
      </c>
      <c r="E38">
        <v>-5.4521099999999996E-3</v>
      </c>
    </row>
    <row r="39" spans="1:5">
      <c r="A39" t="s">
        <v>42</v>
      </c>
      <c r="B39">
        <v>-0.81929280000000004</v>
      </c>
      <c r="C39">
        <v>1.1494916479999999E-4</v>
      </c>
      <c r="D39">
        <v>-1.70505</v>
      </c>
      <c r="E39" s="1">
        <v>5.5799800000000001E-5</v>
      </c>
    </row>
    <row r="40" spans="1:5">
      <c r="A40" t="s">
        <v>43</v>
      </c>
      <c r="B40">
        <v>0.20028476510000001</v>
      </c>
      <c r="C40">
        <v>-3.2232334013999999E-3</v>
      </c>
      <c r="D40">
        <v>-4.11189E-2</v>
      </c>
      <c r="E40">
        <v>-5.5842799999999996E-3</v>
      </c>
    </row>
    <row r="41" spans="1:5">
      <c r="A41" t="s">
        <v>44</v>
      </c>
      <c r="B41">
        <v>-0.66218593999999997</v>
      </c>
      <c r="C41">
        <v>-3.3029565019999998E-3</v>
      </c>
      <c r="D41">
        <v>-1.30775</v>
      </c>
      <c r="E41">
        <v>-5.9276299999999997E-3</v>
      </c>
    </row>
    <row r="42" spans="1:5">
      <c r="A42" t="s">
        <v>45</v>
      </c>
      <c r="B42">
        <v>0.15090646899999999</v>
      </c>
      <c r="C42">
        <v>-3.102358533E-3</v>
      </c>
      <c r="D42">
        <v>0.29134900000000002</v>
      </c>
      <c r="E42">
        <v>-5.9556799999999997E-3</v>
      </c>
    </row>
    <row r="43" spans="1:5">
      <c r="A43" t="s">
        <v>46</v>
      </c>
      <c r="B43">
        <v>-0.16404364099999899</v>
      </c>
      <c r="C43">
        <v>6.3544394999999997E-4</v>
      </c>
      <c r="D43">
        <v>-0.86693500000000001</v>
      </c>
      <c r="E43">
        <v>9.0596100000000005E-4</v>
      </c>
    </row>
    <row r="44" spans="1:5">
      <c r="A44" t="s">
        <v>47</v>
      </c>
      <c r="B44">
        <v>-0.45294531300000002</v>
      </c>
      <c r="C44">
        <v>-3.453389387E-3</v>
      </c>
      <c r="D44">
        <v>-0.94912300000000005</v>
      </c>
      <c r="E44">
        <v>-6.4699600000000003E-3</v>
      </c>
    </row>
    <row r="45" spans="1:5">
      <c r="A45" t="s">
        <v>48</v>
      </c>
      <c r="B45">
        <v>-0.25774430199999998</v>
      </c>
      <c r="C45">
        <v>2.6129981000000001E-4</v>
      </c>
      <c r="D45">
        <v>-0.50088200000000005</v>
      </c>
      <c r="E45">
        <v>5.21766E-4</v>
      </c>
    </row>
    <row r="46" spans="1:5">
      <c r="A46" t="s">
        <v>49</v>
      </c>
      <c r="B46">
        <v>-0.33305417599999998</v>
      </c>
      <c r="C46">
        <v>1.19033543E-4</v>
      </c>
      <c r="D46">
        <v>-0.844306</v>
      </c>
      <c r="E46">
        <v>1.3216700000000001E-4</v>
      </c>
    </row>
    <row r="47" spans="1:5">
      <c r="A47" t="s">
        <v>50</v>
      </c>
      <c r="B47">
        <v>0.29186152799999998</v>
      </c>
      <c r="C47" s="1">
        <v>-6.6625541499999998E-5</v>
      </c>
      <c r="D47">
        <v>0.64098200000000005</v>
      </c>
      <c r="E47">
        <v>-1.2261300000000001E-4</v>
      </c>
    </row>
    <row r="48" spans="1:5">
      <c r="A48" t="s">
        <v>51</v>
      </c>
      <c r="B48">
        <v>-0.79339605599999996</v>
      </c>
      <c r="C48">
        <v>6.1641852199999995E-4</v>
      </c>
      <c r="D48">
        <v>-0.81001000000000001</v>
      </c>
      <c r="E48">
        <v>1.11242E-3</v>
      </c>
    </row>
    <row r="49" spans="1:5">
      <c r="A49" t="s">
        <v>52</v>
      </c>
      <c r="B49">
        <v>-1.438495563</v>
      </c>
      <c r="C49">
        <v>-3.217302535E-3</v>
      </c>
      <c r="D49">
        <v>-2.2462499999999999</v>
      </c>
      <c r="E49">
        <v>-6.0114699999999997E-3</v>
      </c>
    </row>
    <row r="50" spans="1:5">
      <c r="A50" t="s">
        <v>53</v>
      </c>
      <c r="B50">
        <v>-0.33840473999999998</v>
      </c>
      <c r="C50">
        <v>-1.199526193E-4</v>
      </c>
      <c r="D50">
        <v>-0.45127899999999999</v>
      </c>
      <c r="E50" s="1">
        <v>8.1041699999999994E-5</v>
      </c>
    </row>
    <row r="51" spans="1:5">
      <c r="A51" t="s">
        <v>54</v>
      </c>
      <c r="B51">
        <v>0.27425996499999999</v>
      </c>
      <c r="C51">
        <v>1.1494916479999999E-4</v>
      </c>
      <c r="D51">
        <v>0.27715800000000002</v>
      </c>
      <c r="E51" s="1">
        <v>5.5799800000000001E-5</v>
      </c>
    </row>
    <row r="52" spans="1:5">
      <c r="A52" t="s">
        <v>55</v>
      </c>
      <c r="B52">
        <v>0.39723603699999999</v>
      </c>
      <c r="C52">
        <v>-2.3608526614999999E-4</v>
      </c>
      <c r="D52">
        <v>0.40382400000000002</v>
      </c>
      <c r="E52">
        <v>-4.5848699999999999E-4</v>
      </c>
    </row>
    <row r="53" spans="1:5">
      <c r="A53" t="s">
        <v>56</v>
      </c>
      <c r="B53">
        <v>-0.76129504599999998</v>
      </c>
      <c r="C53" s="1">
        <v>-8.9735386140000001E-5</v>
      </c>
      <c r="D53">
        <v>-1.0019899999999999</v>
      </c>
      <c r="E53" s="1">
        <v>7.4782599999999998E-6</v>
      </c>
    </row>
    <row r="54" spans="1:5">
      <c r="A54" t="s">
        <v>57</v>
      </c>
      <c r="B54">
        <v>-0.49137095650000001</v>
      </c>
      <c r="C54">
        <v>4.1173493900000001E-4</v>
      </c>
      <c r="D54">
        <v>-0.85499599999999998</v>
      </c>
      <c r="E54">
        <v>1.0640999999999999E-3</v>
      </c>
    </row>
    <row r="55" spans="1:5">
      <c r="A55" t="s">
        <v>58</v>
      </c>
      <c r="B55">
        <v>-0.95801745699999996</v>
      </c>
      <c r="C55">
        <v>-2.98213964E-3</v>
      </c>
      <c r="D55">
        <v>-2.1154000000000002</v>
      </c>
      <c r="E55">
        <v>-5.3397799999999997E-3</v>
      </c>
    </row>
    <row r="56" spans="1:5">
      <c r="A56" t="s">
        <v>59</v>
      </c>
      <c r="B56">
        <v>-0.30658996999999999</v>
      </c>
      <c r="C56" s="1">
        <v>-8.9735386140000001E-5</v>
      </c>
      <c r="D56">
        <v>-1.2755000000000001</v>
      </c>
      <c r="E56" s="1">
        <v>7.4782599999999998E-6</v>
      </c>
    </row>
    <row r="57" spans="1:5">
      <c r="A57" t="s">
        <v>60</v>
      </c>
      <c r="B57">
        <v>0.41568927500000002</v>
      </c>
      <c r="C57">
        <v>4.2957635460000001E-4</v>
      </c>
      <c r="D57">
        <v>0.14604900000000001</v>
      </c>
      <c r="E57">
        <v>3.7391099999999999E-4</v>
      </c>
    </row>
    <row r="58" spans="1:5">
      <c r="A58" t="s">
        <v>61</v>
      </c>
      <c r="B58">
        <v>0.83882749599999995</v>
      </c>
      <c r="C58">
        <v>-4.4603454499999998E-4</v>
      </c>
      <c r="D58">
        <v>0.24994</v>
      </c>
      <c r="E58">
        <v>-1.0669E-3</v>
      </c>
    </row>
    <row r="59" spans="1:5">
      <c r="A59" t="s">
        <v>62</v>
      </c>
      <c r="B59">
        <v>-0.65602956047999905</v>
      </c>
      <c r="C59">
        <v>3.2490023199999998E-4</v>
      </c>
      <c r="D59">
        <v>-2.2050999999999998</v>
      </c>
      <c r="E59">
        <v>6.6421600000000003E-4</v>
      </c>
    </row>
    <row r="60" spans="1:5">
      <c r="A60" t="s">
        <v>63</v>
      </c>
      <c r="B60">
        <v>-1.56209139</v>
      </c>
      <c r="C60">
        <v>2.0586668900000001E-4</v>
      </c>
      <c r="D60">
        <v>-2.6134400000000002</v>
      </c>
      <c r="E60">
        <v>5.3204900000000004E-4</v>
      </c>
    </row>
    <row r="61" spans="1:5">
      <c r="A61" t="s">
        <v>64</v>
      </c>
      <c r="B61">
        <v>-0.53837176200000003</v>
      </c>
      <c r="C61">
        <v>1.9875833700000001E-4</v>
      </c>
      <c r="D61">
        <v>-1.42283</v>
      </c>
      <c r="E61">
        <v>4.7552E-4</v>
      </c>
    </row>
    <row r="62" spans="1:5">
      <c r="A62" t="s">
        <v>65</v>
      </c>
      <c r="B62">
        <v>-5.3873727999999899E-2</v>
      </c>
      <c r="C62">
        <v>5.2550134099999999E-4</v>
      </c>
      <c r="D62">
        <v>-0.60902000000000001</v>
      </c>
      <c r="E62">
        <v>6.3617100000000005E-4</v>
      </c>
    </row>
    <row r="63" spans="1:5">
      <c r="A63" t="s">
        <v>66</v>
      </c>
      <c r="B63">
        <v>-9.6099527999999906E-2</v>
      </c>
      <c r="C63">
        <v>1.1494916479999999E-4</v>
      </c>
      <c r="D63">
        <v>-0.28119300000000003</v>
      </c>
      <c r="E63" s="1">
        <v>5.5799800000000001E-5</v>
      </c>
    </row>
    <row r="64" spans="1:5">
      <c r="A64" t="s">
        <v>67</v>
      </c>
      <c r="B64">
        <v>0.120312741999999</v>
      </c>
      <c r="C64">
        <v>-2.9560231815E-4</v>
      </c>
      <c r="D64">
        <v>0.94628800000000002</v>
      </c>
      <c r="E64">
        <v>-5.2457100000000004E-4</v>
      </c>
    </row>
    <row r="65" spans="1:5">
      <c r="A65" t="s">
        <v>68</v>
      </c>
      <c r="B65">
        <v>-0.13574765999999999</v>
      </c>
      <c r="C65">
        <v>5.1931179300000003E-4</v>
      </c>
      <c r="D65">
        <v>-0.61295999999999995</v>
      </c>
      <c r="E65">
        <v>3.6643299999999999E-4</v>
      </c>
    </row>
    <row r="66" spans="1:5">
      <c r="A66" t="s">
        <v>69</v>
      </c>
      <c r="B66">
        <v>0.78894928499999994</v>
      </c>
      <c r="C66">
        <v>2.0586668900000001E-4</v>
      </c>
      <c r="D66">
        <v>0.68151700000000004</v>
      </c>
      <c r="E66">
        <v>5.3204900000000004E-4</v>
      </c>
    </row>
    <row r="67" spans="1:5">
      <c r="A67" t="s">
        <v>70</v>
      </c>
      <c r="B67">
        <v>-0.76115835300000001</v>
      </c>
      <c r="C67">
        <v>4.1055093699999997E-4</v>
      </c>
      <c r="D67">
        <v>-0.491039</v>
      </c>
      <c r="E67">
        <v>5.8036999999999997E-4</v>
      </c>
    </row>
    <row r="68" spans="1:5">
      <c r="A68" t="s">
        <v>71</v>
      </c>
      <c r="B68">
        <v>-0.56920194000000002</v>
      </c>
      <c r="C68" s="1">
        <v>2.9298571999999899E-5</v>
      </c>
      <c r="D68">
        <v>-0.88054600000000005</v>
      </c>
      <c r="E68">
        <v>1.39646E-4</v>
      </c>
    </row>
    <row r="69" spans="1:5">
      <c r="A69" t="s">
        <v>72</v>
      </c>
      <c r="B69">
        <v>0.496720035</v>
      </c>
      <c r="C69" s="1">
        <v>5.54320649E-5</v>
      </c>
      <c r="D69">
        <v>0.56403499999999995</v>
      </c>
      <c r="E69" s="1">
        <v>-1.02841E-5</v>
      </c>
    </row>
    <row r="70" spans="1:5">
      <c r="A70" t="s">
        <v>73</v>
      </c>
      <c r="B70">
        <v>0.65637044369999997</v>
      </c>
      <c r="C70">
        <v>0</v>
      </c>
      <c r="D70">
        <v>-5.7488299999999999E-2</v>
      </c>
      <c r="E70">
        <v>0</v>
      </c>
    </row>
    <row r="71" spans="1:5">
      <c r="A71" t="s">
        <v>74</v>
      </c>
      <c r="B71">
        <v>-1.125780547</v>
      </c>
      <c r="C71">
        <v>1.7038257289999999E-4</v>
      </c>
      <c r="D71">
        <v>-2.2019600000000001</v>
      </c>
      <c r="E71" s="1">
        <v>4.5516899999999998E-5</v>
      </c>
    </row>
    <row r="72" spans="1:5">
      <c r="A72" t="s">
        <v>75</v>
      </c>
      <c r="B72">
        <v>-0.90024166400000005</v>
      </c>
      <c r="C72">
        <v>0</v>
      </c>
      <c r="D72">
        <v>-0.78411799999999998</v>
      </c>
      <c r="E72">
        <v>0</v>
      </c>
    </row>
    <row r="73" spans="1:5">
      <c r="A73" t="s">
        <v>76</v>
      </c>
      <c r="B73">
        <v>-0.74824791099999999</v>
      </c>
      <c r="C73">
        <v>1.3924127460000001E-4</v>
      </c>
      <c r="D73">
        <v>-1.81812</v>
      </c>
      <c r="E73">
        <v>4.09436E-4</v>
      </c>
    </row>
    <row r="74" spans="1:5">
      <c r="A74" t="s">
        <v>77</v>
      </c>
      <c r="B74">
        <v>0.32264169799999998</v>
      </c>
      <c r="C74">
        <v>2.5419145799999998E-4</v>
      </c>
      <c r="D74">
        <v>0.35687000000000002</v>
      </c>
      <c r="E74">
        <v>4.6523700000000002E-4</v>
      </c>
    </row>
    <row r="75" spans="1:5">
      <c r="A75" t="s">
        <v>78</v>
      </c>
      <c r="B75">
        <v>0.19593802160000001</v>
      </c>
      <c r="C75">
        <v>-3.5188350614000002E-3</v>
      </c>
      <c r="D75">
        <v>4.6300599999999997E-2</v>
      </c>
      <c r="E75">
        <v>-6.1088499999999999E-3</v>
      </c>
    </row>
    <row r="76" spans="1:5">
      <c r="A76" t="s">
        <v>79</v>
      </c>
      <c r="B76">
        <v>0.54599652600000004</v>
      </c>
      <c r="C76">
        <v>2.8849333109999997E-4</v>
      </c>
      <c r="D76">
        <v>0.50695400000000002</v>
      </c>
      <c r="E76">
        <v>4.6804099999999999E-4</v>
      </c>
    </row>
    <row r="77" spans="1:5">
      <c r="A77" t="s">
        <v>80</v>
      </c>
      <c r="B77">
        <v>0.48547469599999998</v>
      </c>
      <c r="C77">
        <v>-3.1566040600000001E-3</v>
      </c>
      <c r="D77">
        <v>-0.35798200000000002</v>
      </c>
      <c r="E77">
        <v>-5.4616600000000001E-3</v>
      </c>
    </row>
    <row r="78" spans="1:5">
      <c r="A78" t="s">
        <v>81</v>
      </c>
      <c r="B78">
        <v>-0.394554344</v>
      </c>
      <c r="C78">
        <v>-3.45220572E-3</v>
      </c>
      <c r="D78">
        <v>-0.69074899999999995</v>
      </c>
      <c r="E78">
        <v>-5.9862300000000004E-3</v>
      </c>
    </row>
    <row r="79" spans="1:5">
      <c r="A79" t="s">
        <v>82</v>
      </c>
      <c r="B79">
        <v>-2.2451651E-2</v>
      </c>
      <c r="C79">
        <v>5.5690371400000005E-4</v>
      </c>
      <c r="D79">
        <v>0.104236</v>
      </c>
      <c r="E79">
        <v>1.04634E-3</v>
      </c>
    </row>
    <row r="80" spans="1:5">
      <c r="A80" t="s">
        <v>83</v>
      </c>
      <c r="B80">
        <v>2.1769768999999901E-2</v>
      </c>
      <c r="C80">
        <v>4.1173493900000001E-4</v>
      </c>
      <c r="D80">
        <v>0.20613799999999999</v>
      </c>
      <c r="E80">
        <v>1.0640999999999999E-3</v>
      </c>
    </row>
    <row r="81" spans="1:5">
      <c r="A81" t="s">
        <v>84</v>
      </c>
      <c r="B81">
        <v>-1.29839722</v>
      </c>
      <c r="C81">
        <v>-2.1706007600000001E-4</v>
      </c>
      <c r="D81">
        <v>-2.2495099999999999</v>
      </c>
      <c r="E81">
        <v>-6.6494600000000003E-4</v>
      </c>
    </row>
    <row r="82" spans="1:5">
      <c r="A82" t="s">
        <v>85</v>
      </c>
      <c r="B82">
        <v>-0.37910439499999998</v>
      </c>
      <c r="C82">
        <v>3.7414380499999999E-4</v>
      </c>
      <c r="D82">
        <v>0.12021900000000001</v>
      </c>
      <c r="E82">
        <v>3.8419499999999999E-4</v>
      </c>
    </row>
    <row r="83" spans="1:5">
      <c r="A83" t="s">
        <v>86</v>
      </c>
      <c r="B83">
        <v>-0.45166155200000002</v>
      </c>
      <c r="C83">
        <v>1.9875833700000001E-4</v>
      </c>
      <c r="D83">
        <v>-0.17002200000000001</v>
      </c>
      <c r="E83">
        <v>4.7552E-4</v>
      </c>
    </row>
    <row r="84" spans="1:5">
      <c r="A84" t="s">
        <v>87</v>
      </c>
      <c r="B84">
        <v>-0.17305421399999901</v>
      </c>
      <c r="C84">
        <v>-2.1706007600000001E-4</v>
      </c>
      <c r="D84">
        <v>0.42916599999999999</v>
      </c>
      <c r="E84">
        <v>-6.6494600000000003E-4</v>
      </c>
    </row>
    <row r="85" spans="1:5">
      <c r="A85" t="s">
        <v>88</v>
      </c>
      <c r="B85">
        <v>0.74196435199999999</v>
      </c>
      <c r="C85">
        <v>3.51034342E-4</v>
      </c>
      <c r="D85">
        <v>0.61292800000000003</v>
      </c>
      <c r="E85">
        <v>5.1428699999999999E-4</v>
      </c>
    </row>
    <row r="86" spans="1:5">
      <c r="A86" t="s">
        <v>89</v>
      </c>
      <c r="B86">
        <v>-2.0441500260000001</v>
      </c>
      <c r="C86">
        <v>4.9435999700000002E-4</v>
      </c>
      <c r="D86">
        <v>-2.9211900000000002</v>
      </c>
      <c r="E86">
        <v>1.0000899999999999E-3</v>
      </c>
    </row>
    <row r="87" spans="1:5">
      <c r="A87" t="s">
        <v>90</v>
      </c>
      <c r="B87">
        <v>-0.56390793100000003</v>
      </c>
      <c r="C87">
        <v>-2.6604040959999999E-3</v>
      </c>
      <c r="D87">
        <v>-1.1367799999999999</v>
      </c>
      <c r="E87">
        <v>-4.9651399999999998E-3</v>
      </c>
    </row>
    <row r="88" spans="1:5">
      <c r="B88" t="s">
        <v>98</v>
      </c>
      <c r="C88" t="s">
        <v>99</v>
      </c>
      <c r="D88" t="s">
        <v>100</v>
      </c>
      <c r="E88" t="s">
        <v>4</v>
      </c>
    </row>
    <row r="89" spans="1:5">
      <c r="A89" t="s">
        <v>91</v>
      </c>
      <c r="B89">
        <f>COUNT(C2:C87)</f>
        <v>86</v>
      </c>
      <c r="C89">
        <f>COUNT(B2:B87)</f>
        <v>86</v>
      </c>
      <c r="D89">
        <f>COUNT(D2:D87)</f>
        <v>86</v>
      </c>
      <c r="E89">
        <f>COUNT(E2:E87)</f>
        <v>86</v>
      </c>
    </row>
    <row r="90" spans="1:5">
      <c r="A90" t="s">
        <v>92</v>
      </c>
      <c r="B90">
        <f>AVERAGE(C2:C87)</f>
        <v>-6.4534541010267434E-4</v>
      </c>
      <c r="C90">
        <f>AVERAGE(B2:B87)</f>
        <v>-0.25381210561151174</v>
      </c>
      <c r="D90">
        <f>AVERAGE(D2:D87)</f>
        <v>-0.49197517790697687</v>
      </c>
      <c r="E90">
        <f>AVERAGE(E2:E87)</f>
        <v>-1.1789882765116276E-3</v>
      </c>
    </row>
    <row r="91" spans="1:5">
      <c r="A91" t="s">
        <v>93</v>
      </c>
      <c r="B91">
        <f>MEDIAN(C2:C87)</f>
        <v>9.6745374399999999E-5</v>
      </c>
      <c r="C91">
        <f>MEDIAN(B2:B87)</f>
        <v>-0.25695896460000001</v>
      </c>
      <c r="D91">
        <f>MEDIAN(D2:D87)</f>
        <v>-0.49596050000000003</v>
      </c>
      <c r="E91">
        <f>MEDIAN(E2:E87)</f>
        <v>5.0658349999999999E-5</v>
      </c>
    </row>
    <row r="92" spans="1:5">
      <c r="A92" t="s">
        <v>94</v>
      </c>
      <c r="B92">
        <f>_xlfn.STDEV.S(C2:C87)</f>
        <v>1.5054001549459992E-3</v>
      </c>
      <c r="C92">
        <f>_xlfn.STDEV.S(B2:B87)</f>
        <v>0.69086481661806587</v>
      </c>
      <c r="D92">
        <f>_xlfn.STDEV.S(D2:D87)</f>
        <v>0.94375984968198445</v>
      </c>
      <c r="E92">
        <f>_xlfn.STDEV.S(E2:E87)</f>
        <v>2.6817024129617193E-3</v>
      </c>
    </row>
    <row r="93" spans="1:5">
      <c r="A93" t="s">
        <v>95</v>
      </c>
      <c r="B93">
        <f>_xlfn.QUARTILE.INC(C2:C87,3)-_xlfn.QUARTILE.INC(C2:C87,1)</f>
        <v>6.9691981938749996E-4</v>
      </c>
      <c r="C93">
        <f>_xlfn.QUARTILE.INC(B2:B87,3)-_xlfn.QUARTILE.INC(B2:B87,1)</f>
        <v>0.85325630620999904</v>
      </c>
      <c r="D93">
        <f>_xlfn.QUARTILE.INC(D2:D87,3)-_xlfn.QUARTILE.INC(D2:D87,1)</f>
        <v>1.131715</v>
      </c>
      <c r="E93" s="2">
        <f>_xlfn.QUARTILE.INC(E2:E87,3)-_xlfn.QUARTILE.INC(E2:E87,1)</f>
        <v>1.4806985000000001E-3</v>
      </c>
    </row>
    <row r="94" spans="1:5">
      <c r="A94" t="s">
        <v>96</v>
      </c>
      <c r="B94">
        <f>MIN(C2:C87)</f>
        <v>-3.7478073799999999E-3</v>
      </c>
      <c r="C94">
        <f>MIN(B2:B87)</f>
        <v>-2.8967906480000001</v>
      </c>
      <c r="D94">
        <f>MIN(D2:D87)</f>
        <v>-2.9211900000000002</v>
      </c>
      <c r="E94">
        <f>MIN(E2:E87)</f>
        <v>-6.5360499999999998E-3</v>
      </c>
    </row>
    <row r="95" spans="1:5">
      <c r="A95" t="s">
        <v>97</v>
      </c>
      <c r="B95">
        <f>MAX(C2:C87)</f>
        <v>7.5974238999999995E-4</v>
      </c>
      <c r="C95">
        <f>MAX(B2:B87)</f>
        <v>1.2384394699999901</v>
      </c>
      <c r="D95">
        <f>MAX(D2:D87)</f>
        <v>1.3261700000000001</v>
      </c>
      <c r="E95">
        <f>MAX(E2:E87)</f>
        <v>1.59822E-3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Mishra</dc:creator>
  <cp:lastModifiedBy>Soumya Mishra</cp:lastModifiedBy>
  <dcterms:created xsi:type="dcterms:W3CDTF">2026-10-02T20:57:27Z</dcterms:created>
  <dcterms:modified xsi:type="dcterms:W3CDTF">2026-10-03T09:22:04Z</dcterms:modified>
</cp:coreProperties>
</file>